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6edf3ec2b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a5cd18335d405e"/>
    <x:sheet xmlns:r="http://schemas.openxmlformats.org/officeDocument/2006/relationships" name="Collection" sheetId="2" r:id="R98cd1064ef12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&quot;₹&quot;#,##0.00"/>
    <x:numFmt numFmtId="203" formatCode="0.0"/>
  </x:numFmts>
  <x:fonts count="12">
    <x:font>
      <x:sz val="11"/>
      <x:name val="Carlito"/>
    </x:font>
    <x:font>
      <x:b/>
      <x:sz val="16"/>
      <x:color rgb="FF183B56"/>
      <x:name val="Arial"/>
    </x:font>
    <x:font>
      <x:i/>
      <x:sz val="10"/>
      <x:color rgb="FF5D6B75"/>
      <x:name val="Arial"/>
    </x:font>
    <x:font>
      <x:b/>
      <x:sz val="10"/>
      <x:color rgb="FFFFFFFF"/>
      <x:name val="Arial"/>
    </x:font>
    <x:font>
      <x:sz val="10"/>
      <x:color rgb="FF24313A"/>
      <x:name val="Arial"/>
    </x:font>
    <x:font>
      <x:b/>
      <x:sz val="10"/>
      <x:color rgb="FF52616B"/>
      <x:name val="Arial"/>
    </x:font>
    <x:font>
      <x:b/>
      <x:sz val="12"/>
      <x:color rgb="FF183B56"/>
      <x:name val="Arial"/>
    </x:font>
    <x:font>
      <x:b/>
      <x:sz val="10"/>
      <x:color rgb="FF2F6690"/>
      <x:name val="Arial"/>
    </x:font>
    <x:font>
      <x:b/>
      <x:sz val="14"/>
      <x:color rgb="FF183B56"/>
      <x:name val="Arial"/>
    </x:font>
    <x:font>
      <x:i/>
      <x:sz val="9"/>
      <x:color rgb="FF5D6B75"/>
      <x:name val="Arial"/>
    </x:font>
    <x:font>
      <x:b/>
      <x:sz val="9"/>
      <x:color rgb="FFFFFFFF"/>
      <x:name val="Arial"/>
    </x:font>
    <x:font>
      <x:sz val="9"/>
      <x:color rgb="FF2431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3F6F8"/>
      </x:patternFill>
    </x:fill>
    <x:fill>
      <x:patternFill patternType="solid">
        <x:fgColor rgb="FF2F6690"/>
      </x:patternFill>
    </x:fill>
    <x:fill>
      <x:patternFill patternType="solid">
        <x:fgColor rgb="FFFFF2CC"/>
      </x:patternFill>
    </x:fill>
    <x:fill>
      <x:patternFill patternType="solid">
        <x:fgColor rgb="FFEA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11" fillId="5" borderId="0" xfId="0" applyNumberFormat="1" applyFont="1" applyFill="1" applyBorder="1"/>
    <x:xf numFmtId="0" fontId="11" fillId="6" borderId="0" xfId="0" applyNumberFormat="1" applyFont="1" applyFill="1" applyBorder="1"/>
    <x:xf numFmtId="200" fontId="11" fillId="5" borderId="0" xfId="0" applyNumberFormat="1" applyFont="1" applyFill="1" applyBorder="1"/>
    <x:xf numFmtId="201" fontId="11" fillId="5" borderId="0" xfId="0" applyNumberFormat="1" applyFont="1" applyFill="1" applyBorder="1"/>
    <x:xf numFmtId="202" fontId="11" fillId="5" borderId="0" xfId="0" applyNumberFormat="1" applyFont="1" applyFill="1" applyBorder="1"/>
    <x:xf numFmtId="203" fontId="11" fillId="5" borderId="0" xfId="0" applyNumberFormat="1" applyFont="1" applyFill="1" applyBorder="1"/>
    <x:xf numFmtId="202" fontId="1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e28a18fa24357" /><Relationship Type="http://schemas.openxmlformats.org/officeDocument/2006/relationships/theme" Target="/xl/theme/theme1.xml" Id="R780a376203ff40e0" /><Relationship Type="http://schemas.openxmlformats.org/officeDocument/2006/relationships/sharedStrings" Target="/xl/sharedStrings.xml" Id="R3330f3996b384b75" /><Relationship Type="http://schemas.openxmlformats.org/officeDocument/2006/relationships/worksheet" Target="/xl/worksheets/sheet1.xml" Id="R77a5cd18335d405e" /><Relationship Type="http://schemas.openxmlformats.org/officeDocument/2006/relationships/worksheet" Target="/xl/worksheets/sheet2.xml" Id="R98cd1064ef1241e3" /></Relationships>
</file>

<file path=xl/tables/table1.xml><?xml version="1.0" encoding="utf-8"?>
<x:table xmlns:x="http://schemas.openxmlformats.org/spreadsheetml/2006/main" id="1" name="PriceObservationLog" displayName="PriceObservationLog" ref="A4:R244" headerRowCount="1" totalsRowCount="0" totalsRowShown="0">
  <x:tableColumns count="18">
    <x:tableColumn id="1" name="Observation ID"/>
    <x:tableColumn id="2" name="Week"/>
    <x:tableColumn id="3" name="Observation date"/>
    <x:tableColumn id="4" name="Observation time"/>
    <x:tableColumn id="5" name="Day type"/>
    <x:tableColumn id="6" name="Restaurant ID"/>
    <x:tableColumn id="7" name="Restaurant name"/>
    <x:tableColumn id="8" name="Neighbourhood"/>
    <x:tableColumn id="9" name="Matched dish and portion"/>
    <x:tableColumn id="10" name="App"/>
    <x:tableColumn id="11" name="Menu price (₹)"/>
    <x:tableColumn id="12" name="Delivery fee (₹)"/>
    <x:tableColumn id="13" name="Packaging fee (₹)"/>
    <x:tableColumn id="14" name="Rating shown"/>
    <x:tableColumn id="15" name="Distance shown (km)"/>
    <x:tableColumn id="16" name="Offer or context note"/>
    <x:tableColumn id="17" name="Pair key"/>
    <x:tableColumn id="18" name="Observed total before tax (₹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c12071e9964904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1" hidden="0" customWidth="1"/>
    <x:col min="4" max="4" width="17" hidden="0" customWidth="1"/>
    <x:col min="5" max="5" width="21" hidden="0" customWidth="1"/>
    <x:col min="6" max="6" width="16" hidden="0" customWidth="1"/>
  </x:cols>
  <x:sheetData>
    <x:row r="1">
      <x:c r="A1" s="12"/>
      <x:c r="B1" s="12"/>
      <x:c r="C1" s="12"/>
      <x:c r="D1" s="12"/>
      <x:c r="E1" s="12"/>
      <x:c r="F1" s="12"/>
    </x:row>
    <x:row r="2">
      <x:c r="A2" s="13" t="str">
        <x:v>Zomato vs Swiggy | Price field study</x:v>
      </x:c>
      <x:c r="B2" s="13"/>
      <x:c r="C2" s="13"/>
      <x:c r="D2" s="13"/>
      <x:c r="E2" s="13"/>
      <x:c r="F2" s="13"/>
    </x:row>
    <x:row r="3">
      <x:c r="A3" s="14" t="str">
        <x:v>Manual neighbourhood observations · 4 weekly rounds · INR</x:v>
      </x:c>
      <x:c r="B3" s="14"/>
      <x:c r="C3" s="14"/>
      <x:c r="D3" s="14"/>
      <x:c r="E3" s="14"/>
      <x:c r="F3" s="14"/>
    </x:row>
    <x:row r="4">
      <x:c r="A4" s="12"/>
      <x:c r="B4" s="12"/>
      <x:c r="C4" s="12"/>
      <x:c r="D4" s="12"/>
      <x:c r="E4" s="12"/>
      <x:c r="F4" s="12"/>
    </x:row>
    <x:row r="5">
      <x:c r="A5" s="15" t="str">
        <x:v>COLLECTION PROGRESS</x:v>
      </x:c>
      <x:c r="B5" s="15"/>
      <x:c r="C5" s="15"/>
      <x:c r="D5" s="15"/>
      <x:c r="E5" s="15"/>
      <x:c r="F5" s="15"/>
    </x:row>
    <x:row r="6">
      <x:c r="A6" s="16" t="str">
        <x:v>Target observations</x:v>
      </x:c>
      <x:c r="B6" s="17" t="n">
        <x:v>240</x:v>
      </x:c>
      <x:c r="C6" s="16" t="str">
        <x:v>Dates logged</x:v>
      </x:c>
      <x:c r="D6" s="17" t="n">
        <x:f>COUNT(Collection!C5:C244)</x:f>
        <x:v>0</x:v>
      </x:c>
      <x:c r="E6" s="16" t="str">
        <x:v>Complete totals</x:v>
      </x:c>
      <x:c r="F6" s="17" t="n">
        <x:f>COUNT(Collection!R5:R244)</x:f>
        <x:v>0</x:v>
      </x:c>
    </x:row>
    <x:row r="7">
      <x:c r="A7" s="16" t="str">
        <x:v>Restaurants / dishes</x:v>
      </x:c>
      <x:c r="B7" s="17" t="n">
        <x:v>30</x:v>
      </x:c>
      <x:c r="C7" s="16" t="str">
        <x:v>Zomato observations</x:v>
      </x:c>
      <x:c r="D7" s="17" t="n">
        <x:f>COUNTIF(Collection!J5:J244,"Zomato")</x:f>
        <x:v>0</x:v>
      </x:c>
      <x:c r="E7" s="16" t="str">
        <x:v>Swiggy observations</x:v>
      </x:c>
      <x:c r="F7" s="17" t="n">
        <x:f>COUNTIF(Collection!J5:J244,"Swiggy")</x:f>
        <x:v>0</x:v>
      </x:c>
    </x:row>
    <x:row r="8">
      <x:c r="A8" s="12"/>
      <x:c r="B8" s="12"/>
      <x:c r="C8" s="12"/>
      <x:c r="D8" s="12"/>
      <x:c r="E8" s="12"/>
      <x:c r="F8" s="12"/>
    </x:row>
    <x:row r="9">
      <x:c r="A9" s="15" t="str">
        <x:v>COLLECTION METHOD</x:v>
      </x:c>
      <x:c r="B9" s="15"/>
      <x:c r="C9" s="15"/>
      <x:c r="D9" s="15"/>
      <x:c r="E9" s="15"/>
      <x:c r="F9" s="15"/>
    </x:row>
    <x:row r="10" ht="30" customHeight="1">
      <x:c r="A10" s="21" t="str">
        <x:v>1</x:v>
      </x:c>
      <x:c r="B10" s="19" t="str">
        <x:v>Choose 25–30 restaurants in one neighbourhood or service area.</x:v>
      </x:c>
      <x:c r="C10" s="12"/>
      <x:c r="D10" s="12"/>
      <x:c r="E10" s="12"/>
      <x:c r="F10" s="12"/>
    </x:row>
    <x:row r="11" ht="30" customHeight="1">
      <x:c r="A11" s="21" t="str">
        <x:v>2</x:v>
      </x:c>
      <x:c r="B11" s="19" t="str">
        <x:v>Select one dish and portion that can be matched on both apps.</x:v>
      </x:c>
      <x:c r="C11" s="12"/>
      <x:c r="D11" s="12"/>
      <x:c r="E11" s="12"/>
      <x:c r="F11" s="12"/>
    </x:row>
    <x:row r="12" ht="30" customHeight="1">
      <x:c r="A12" s="21" t="str">
        <x:v>3</x:v>
      </x:c>
      <x:c r="B12" s="19" t="str">
        <x:v>Record both apps on the same date and close together in time, once each week for four weeks.</x:v>
      </x:c>
      <x:c r="C12" s="12"/>
      <x:c r="D12" s="12"/>
      <x:c r="E12" s="12"/>
      <x:c r="F12" s="12"/>
    </x:row>
    <x:row r="13" ht="30" customHeight="1">
      <x:c r="A13" s="21" t="str">
        <x:v>4</x:v>
      </x:c>
      <x:c r="B13" s="19" t="str">
        <x:v>Enter the listed menu price and each displayed fee. Use 0 only when the app explicitly shows a zero fee.</x:v>
      </x:c>
      <x:c r="C13" s="12"/>
      <x:c r="D13" s="12"/>
      <x:c r="E13" s="12"/>
      <x:c r="F13" s="12"/>
    </x:row>
    <x:row r="14" ht="30" customHeight="1">
      <x:c r="A14" s="21" t="str">
        <x:v>5</x:v>
      </x:c>
      <x:c r="B14" s="19" t="str">
        <x:v>Use neighbourhood names, not a home address. Do not record account details or personal coupons.</x:v>
      </x:c>
      <x:c r="C14" s="12"/>
      <x:c r="D14" s="12"/>
      <x:c r="E14" s="12"/>
      <x:c r="F14" s="12"/>
    </x:row>
    <x:row r="15" ht="30" customHeight="1">
      <x:c r="A15" s="21" t="str">
        <x:v>6</x:v>
      </x:c>
      <x:c r="B15" s="19" t="str">
        <x:v>Export the Collection sheet as CSV to data/observations.csv before running the analysis script.</x:v>
      </x:c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5" t="str">
        <x:v>COMPARISON RULES</x:v>
      </x:c>
      <x:c r="B17" s="15"/>
      <x:c r="C17" s="15"/>
      <x:c r="D17" s="15"/>
      <x:c r="E17" s="15"/>
      <x:c r="F17" s="15"/>
    </x:row>
    <x:row r="18" ht="32" customHeight="1">
      <x:c r="A18" s="16" t="str">
        <x:v>Pairing</x:v>
      </x:c>
      <x:c r="B18" s="19" t="str">
        <x:v>Use the same restaurant ID, standardized dish/portion, week, and date for both app records.</x:v>
      </x:c>
      <x:c r="C18" s="12"/>
      <x:c r="D18" s="12"/>
      <x:c r="E18" s="12"/>
      <x:c r="F18" s="12"/>
    </x:row>
    <x:row r="19" ht="32" customHeight="1">
      <x:c r="A19" s="16" t="str">
        <x:v>Observed total</x:v>
      </x:c>
      <x:c r="B19" s="19" t="str">
        <x:v>Menu price + delivery fee + packaging fee before tax/discount; blank fees are not treated as free.</x:v>
      </x:c>
      <x:c r="C19" s="12"/>
      <x:c r="D19" s="12"/>
      <x:c r="E19" s="12"/>
      <x:c r="F19" s="12"/>
    </x:row>
    <x:row r="20" ht="32" customHeight="1">
      <x:c r="A20" s="16" t="str">
        <x:v>Price gap</x:v>
      </x:c>
      <x:c r="B20" s="19" t="str">
        <x:v>Zomato minus Swiggy. Positive means Zomato is higher; percentage uses Swiggy as denominator.</x:v>
      </x:c>
      <x:c r="C20" s="12"/>
      <x:c r="D20" s="12"/>
      <x:c r="E20" s="12"/>
      <x:c r="F20" s="12"/>
    </x:row>
    <x:row r="21" ht="32" customHeight="1">
      <x:c r="A21" s="16" t="str">
        <x:v>Limit</x:v>
      </x:c>
      <x:c r="B21" s="19" t="str">
        <x:v>Prices depend on location, timing, demand, account state, promotions, and app rating definitions.</x:v>
      </x:c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5" t="str">
        <x:v>DATA SOURCE</x:v>
      </x:c>
      <x:c r="B23" s="15"/>
      <x:c r="C23" s="15"/>
      <x:c r="D23" s="15"/>
      <x:c r="E23" s="15"/>
      <x:c r="F23" s="15"/>
    </x:row>
    <x:row r="24" ht="54" customHeight="1">
      <x:c r="A24" s="20" t="str">
        <x:v>Method</x:v>
      </x:c>
      <x:c r="B24" s="20" t="str">
        <x:v>Manual notes of publicly displayed prices and fees; blank template, no app observations, and no automated collection.</x:v>
      </x:c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9B2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5" hidden="0" customWidth="1"/>
    <x:col min="4" max="4" width="13" hidden="0" customWidth="1"/>
    <x:col min="5" max="5" width="12" hidden="0" customWidth="1"/>
    <x:col min="6" max="6" width="14" hidden="0" customWidth="1"/>
    <x:col min="7" max="7" width="23" hidden="0" customWidth="1"/>
    <x:col min="8" max="8" width="19" hidden="0" customWidth="1"/>
    <x:col min="9" max="9" width="28" hidden="0" customWidth="1"/>
    <x:col min="10" max="10" width="12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28" hidden="0" customWidth="1"/>
    <x:col min="17" max="17" width="42" hidden="0" customWidth="1"/>
    <x:col min="18" max="18" width="25" hidden="0" customWidth="1"/>
  </x:cols>
  <x:sheetData>
    <x:row r="1">
      <x:c r="A1" s="22" t="str">
        <x:v>Observation log | 240 rows = 30 restaurant/dish pairs × 4 weeks × 2 apps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</x:row>
    <x:row r="2">
      <x:c r="A2" s="24" t="str">
        <x:v>Input cells are amber. Capture both apps for the same restaurant/dish on the same date. Leave fees blank if not shown; enter 0 only if shown as free.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</x:row>
    <x:row r="4" ht="34" customHeight="1">
      <x:c r="A4" s="29" t="str">
        <x:v>Observation ID</x:v>
      </x:c>
      <x:c r="B4" s="29" t="str">
        <x:v>Week</x:v>
      </x:c>
      <x:c r="C4" s="29" t="str">
        <x:v>Observation date</x:v>
      </x:c>
      <x:c r="D4" s="29" t="str">
        <x:v>Observation time</x:v>
      </x:c>
      <x:c r="E4" s="29" t="str">
        <x:v>Day type</x:v>
      </x:c>
      <x:c r="F4" s="29" t="str">
        <x:v>Restaurant ID</x:v>
      </x:c>
      <x:c r="G4" s="29" t="str">
        <x:v>Restaurant name</x:v>
      </x:c>
      <x:c r="H4" s="29" t="str">
        <x:v>Neighbourhood</x:v>
      </x:c>
      <x:c r="I4" s="29" t="str">
        <x:v>Matched dish and portion</x:v>
      </x:c>
      <x:c r="J4" s="29" t="str">
        <x:v>App</x:v>
      </x:c>
      <x:c r="K4" s="29" t="str">
        <x:v>Menu price (₹)</x:v>
      </x:c>
      <x:c r="L4" s="29" t="str">
        <x:v>Delivery fee (₹)</x:v>
      </x:c>
      <x:c r="M4" s="29" t="str">
        <x:v>Packaging fee (₹)</x:v>
      </x:c>
      <x:c r="N4" s="29" t="str">
        <x:v>Rating shown</x:v>
      </x:c>
      <x:c r="O4" s="29" t="str">
        <x:v>Distance shown (km)</x:v>
      </x:c>
      <x:c r="P4" s="29" t="str">
        <x:v>Offer or context note</x:v>
      </x:c>
      <x:c r="Q4" s="29" t="str">
        <x:v>Pair key</x:v>
      </x:c>
      <x:c r="R4" s="29" t="str">
        <x:v>Observed total before tax (₹)</x:v>
      </x:c>
    </x:row>
    <x:row r="5">
      <x:c r="A5" s="32" t="str">
        <x:v>OBS0001</x:v>
      </x:c>
      <x:c r="B5" s="32"/>
      <x:c r="C5" s="34"/>
      <x:c r="D5" s="35"/>
      <x:c r="E5" s="32"/>
      <x:c r="F5" s="32"/>
      <x:c r="G5" s="32"/>
      <x:c r="H5" s="32"/>
      <x:c r="I5" s="32"/>
      <x:c r="J5" s="32"/>
      <x:c r="K5" s="36"/>
      <x:c r="L5" s="36"/>
      <x:c r="M5" s="36"/>
      <x:c r="N5" s="37"/>
      <x:c r="O5" s="37"/>
      <x:c r="P5" s="32"/>
      <x:c r="Q5" s="33" t="str">
        <x:f>IF(OR(B5="",C5="",F5="",I5=""),"",B5&amp;"|"&amp;TEXT(C5,"yyyy-mm-dd")&amp;"|"&amp;F5&amp;"|"&amp;I5)</x:f>
      </x:c>
      <x:c r="R5" s="38" t="str">
        <x:f>IF(OR(K5="",L5="",M5=""),"",SUM(K5:M5))</x:f>
      </x:c>
    </x:row>
    <x:row r="6">
      <x:c r="A6" s="32" t="str">
        <x:v>OBS0002</x:v>
      </x:c>
      <x:c r="B6" s="32"/>
      <x:c r="C6" s="34"/>
      <x:c r="D6" s="35"/>
      <x:c r="E6" s="32"/>
      <x:c r="F6" s="32"/>
      <x:c r="G6" s="32"/>
      <x:c r="H6" s="32"/>
      <x:c r="I6" s="32"/>
      <x:c r="J6" s="32"/>
      <x:c r="K6" s="36"/>
      <x:c r="L6" s="36"/>
      <x:c r="M6" s="36"/>
      <x:c r="N6" s="37"/>
      <x:c r="O6" s="37"/>
      <x:c r="P6" s="32"/>
      <x:c r="Q6" s="33" t="str">
        <x:f>IF(OR(B6="",C6="",F6="",I6=""),"",B6&amp;"|"&amp;TEXT(C6,"yyyy-mm-dd")&amp;"|"&amp;F6&amp;"|"&amp;I6)</x:f>
      </x:c>
      <x:c r="R6" s="38" t="str">
        <x:f>IF(OR(K6="",L6="",M6=""),"",SUM(K6:M6))</x:f>
      </x:c>
    </x:row>
    <x:row r="7">
      <x:c r="A7" s="32" t="str">
        <x:v>OBS0003</x:v>
      </x:c>
      <x:c r="B7" s="32"/>
      <x:c r="C7" s="34"/>
      <x:c r="D7" s="35"/>
      <x:c r="E7" s="32"/>
      <x:c r="F7" s="32"/>
      <x:c r="G7" s="32"/>
      <x:c r="H7" s="32"/>
      <x:c r="I7" s="32"/>
      <x:c r="J7" s="32"/>
      <x:c r="K7" s="36"/>
      <x:c r="L7" s="36"/>
      <x:c r="M7" s="36"/>
      <x:c r="N7" s="37"/>
      <x:c r="O7" s="37"/>
      <x:c r="P7" s="32"/>
      <x:c r="Q7" s="33" t="str">
        <x:f>IF(OR(B7="",C7="",F7="",I7=""),"",B7&amp;"|"&amp;TEXT(C7,"yyyy-mm-dd")&amp;"|"&amp;F7&amp;"|"&amp;I7)</x:f>
      </x:c>
      <x:c r="R7" s="38" t="str">
        <x:f>IF(OR(K7="",L7="",M7=""),"",SUM(K7:M7))</x:f>
      </x:c>
    </x:row>
    <x:row r="8">
      <x:c r="A8" s="32" t="str">
        <x:v>OBS0004</x:v>
      </x:c>
      <x:c r="B8" s="32"/>
      <x:c r="C8" s="34"/>
      <x:c r="D8" s="35"/>
      <x:c r="E8" s="32"/>
      <x:c r="F8" s="32"/>
      <x:c r="G8" s="32"/>
      <x:c r="H8" s="32"/>
      <x:c r="I8" s="32"/>
      <x:c r="J8" s="32"/>
      <x:c r="K8" s="36"/>
      <x:c r="L8" s="36"/>
      <x:c r="M8" s="36"/>
      <x:c r="N8" s="37"/>
      <x:c r="O8" s="37"/>
      <x:c r="P8" s="32"/>
      <x:c r="Q8" s="33" t="str">
        <x:f>IF(OR(B8="",C8="",F8="",I8=""),"",B8&amp;"|"&amp;TEXT(C8,"yyyy-mm-dd")&amp;"|"&amp;F8&amp;"|"&amp;I8)</x:f>
      </x:c>
      <x:c r="R8" s="38" t="str">
        <x:f>IF(OR(K8="",L8="",M8=""),"",SUM(K8:M8))</x:f>
      </x:c>
    </x:row>
    <x:row r="9">
      <x:c r="A9" s="32" t="str">
        <x:v>OBS0005</x:v>
      </x:c>
      <x:c r="B9" s="32"/>
      <x:c r="C9" s="34"/>
      <x:c r="D9" s="35"/>
      <x:c r="E9" s="32"/>
      <x:c r="F9" s="32"/>
      <x:c r="G9" s="32"/>
      <x:c r="H9" s="32"/>
      <x:c r="I9" s="32"/>
      <x:c r="J9" s="32"/>
      <x:c r="K9" s="36"/>
      <x:c r="L9" s="36"/>
      <x:c r="M9" s="36"/>
      <x:c r="N9" s="37"/>
      <x:c r="O9" s="37"/>
      <x:c r="P9" s="32"/>
      <x:c r="Q9" s="33" t="str">
        <x:f>IF(OR(B9="",C9="",F9="",I9=""),"",B9&amp;"|"&amp;TEXT(C9,"yyyy-mm-dd")&amp;"|"&amp;F9&amp;"|"&amp;I9)</x:f>
      </x:c>
      <x:c r="R9" s="38" t="str">
        <x:f>IF(OR(K9="",L9="",M9=""),"",SUM(K9:M9))</x:f>
      </x:c>
    </x:row>
    <x:row r="10">
      <x:c r="A10" s="32" t="str">
        <x:v>OBS0006</x:v>
      </x:c>
      <x:c r="B10" s="32"/>
      <x:c r="C10" s="34"/>
      <x:c r="D10" s="35"/>
      <x:c r="E10" s="32"/>
      <x:c r="F10" s="32"/>
      <x:c r="G10" s="32"/>
      <x:c r="H10" s="32"/>
      <x:c r="I10" s="32"/>
      <x:c r="J10" s="32"/>
      <x:c r="K10" s="36"/>
      <x:c r="L10" s="36"/>
      <x:c r="M10" s="36"/>
      <x:c r="N10" s="37"/>
      <x:c r="O10" s="37"/>
      <x:c r="P10" s="32"/>
      <x:c r="Q10" s="33" t="str">
        <x:f>IF(OR(B10="",C10="",F10="",I10=""),"",B10&amp;"|"&amp;TEXT(C10,"yyyy-mm-dd")&amp;"|"&amp;F10&amp;"|"&amp;I10)</x:f>
      </x:c>
      <x:c r="R10" s="38" t="str">
        <x:f>IF(OR(K10="",L10="",M10=""),"",SUM(K10:M10))</x:f>
      </x:c>
    </x:row>
    <x:row r="11">
      <x:c r="A11" s="32" t="str">
        <x:v>OBS0007</x:v>
      </x:c>
      <x:c r="B11" s="32"/>
      <x:c r="C11" s="34"/>
      <x:c r="D11" s="35"/>
      <x:c r="E11" s="32"/>
      <x:c r="F11" s="32"/>
      <x:c r="G11" s="32"/>
      <x:c r="H11" s="32"/>
      <x:c r="I11" s="32"/>
      <x:c r="J11" s="32"/>
      <x:c r="K11" s="36"/>
      <x:c r="L11" s="36"/>
      <x:c r="M11" s="36"/>
      <x:c r="N11" s="37"/>
      <x:c r="O11" s="37"/>
      <x:c r="P11" s="32"/>
      <x:c r="Q11" s="33" t="str">
        <x:f>IF(OR(B11="",C11="",F11="",I11=""),"",B11&amp;"|"&amp;TEXT(C11,"yyyy-mm-dd")&amp;"|"&amp;F11&amp;"|"&amp;I11)</x:f>
      </x:c>
      <x:c r="R11" s="38" t="str">
        <x:f>IF(OR(K11="",L11="",M11=""),"",SUM(K11:M11))</x:f>
      </x:c>
    </x:row>
    <x:row r="12">
      <x:c r="A12" s="32" t="str">
        <x:v>OBS0008</x:v>
      </x:c>
      <x:c r="B12" s="32"/>
      <x:c r="C12" s="34"/>
      <x:c r="D12" s="35"/>
      <x:c r="E12" s="32"/>
      <x:c r="F12" s="32"/>
      <x:c r="G12" s="32"/>
      <x:c r="H12" s="32"/>
      <x:c r="I12" s="32"/>
      <x:c r="J12" s="32"/>
      <x:c r="K12" s="36"/>
      <x:c r="L12" s="36"/>
      <x:c r="M12" s="36"/>
      <x:c r="N12" s="37"/>
      <x:c r="O12" s="37"/>
      <x:c r="P12" s="32"/>
      <x:c r="Q12" s="33" t="str">
        <x:f>IF(OR(B12="",C12="",F12="",I12=""),"",B12&amp;"|"&amp;TEXT(C12,"yyyy-mm-dd")&amp;"|"&amp;F12&amp;"|"&amp;I12)</x:f>
      </x:c>
      <x:c r="R12" s="38" t="str">
        <x:f>IF(OR(K12="",L12="",M12=""),"",SUM(K12:M12))</x:f>
      </x:c>
    </x:row>
    <x:row r="13">
      <x:c r="A13" s="32" t="str">
        <x:v>OBS0009</x:v>
      </x:c>
      <x:c r="B13" s="32"/>
      <x:c r="C13" s="34"/>
      <x:c r="D13" s="35"/>
      <x:c r="E13" s="32"/>
      <x:c r="F13" s="32"/>
      <x:c r="G13" s="32"/>
      <x:c r="H13" s="32"/>
      <x:c r="I13" s="32"/>
      <x:c r="J13" s="32"/>
      <x:c r="K13" s="36"/>
      <x:c r="L13" s="36"/>
      <x:c r="M13" s="36"/>
      <x:c r="N13" s="37"/>
      <x:c r="O13" s="37"/>
      <x:c r="P13" s="32"/>
      <x:c r="Q13" s="33" t="str">
        <x:f>IF(OR(B13="",C13="",F13="",I13=""),"",B13&amp;"|"&amp;TEXT(C13,"yyyy-mm-dd")&amp;"|"&amp;F13&amp;"|"&amp;I13)</x:f>
      </x:c>
      <x:c r="R13" s="38" t="str">
        <x:f>IF(OR(K13="",L13="",M13=""),"",SUM(K13:M13))</x:f>
      </x:c>
    </x:row>
    <x:row r="14">
      <x:c r="A14" s="32" t="str">
        <x:v>OBS0010</x:v>
      </x:c>
      <x:c r="B14" s="32"/>
      <x:c r="C14" s="34"/>
      <x:c r="D14" s="35"/>
      <x:c r="E14" s="32"/>
      <x:c r="F14" s="32"/>
      <x:c r="G14" s="32"/>
      <x:c r="H14" s="32"/>
      <x:c r="I14" s="32"/>
      <x:c r="J14" s="32"/>
      <x:c r="K14" s="36"/>
      <x:c r="L14" s="36"/>
      <x:c r="M14" s="36"/>
      <x:c r="N14" s="37"/>
      <x:c r="O14" s="37"/>
      <x:c r="P14" s="32"/>
      <x:c r="Q14" s="33" t="str">
        <x:f>IF(OR(B14="",C14="",F14="",I14=""),"",B14&amp;"|"&amp;TEXT(C14,"yyyy-mm-dd")&amp;"|"&amp;F14&amp;"|"&amp;I14)</x:f>
      </x:c>
      <x:c r="R14" s="38" t="str">
        <x:f>IF(OR(K14="",L14="",M14=""),"",SUM(K14:M14))</x:f>
      </x:c>
    </x:row>
    <x:row r="15">
      <x:c r="A15" s="32" t="str">
        <x:v>OBS0011</x:v>
      </x:c>
      <x:c r="B15" s="32"/>
      <x:c r="C15" s="34"/>
      <x:c r="D15" s="35"/>
      <x:c r="E15" s="32"/>
      <x:c r="F15" s="32"/>
      <x:c r="G15" s="32"/>
      <x:c r="H15" s="32"/>
      <x:c r="I15" s="32"/>
      <x:c r="J15" s="32"/>
      <x:c r="K15" s="36"/>
      <x:c r="L15" s="36"/>
      <x:c r="M15" s="36"/>
      <x:c r="N15" s="37"/>
      <x:c r="O15" s="37"/>
      <x:c r="P15" s="32"/>
      <x:c r="Q15" s="33" t="str">
        <x:f>IF(OR(B15="",C15="",F15="",I15=""),"",B15&amp;"|"&amp;TEXT(C15,"yyyy-mm-dd")&amp;"|"&amp;F15&amp;"|"&amp;I15)</x:f>
      </x:c>
      <x:c r="R15" s="38" t="str">
        <x:f>IF(OR(K15="",L15="",M15=""),"",SUM(K15:M15))</x:f>
      </x:c>
    </x:row>
    <x:row r="16">
      <x:c r="A16" s="32" t="str">
        <x:v>OBS0012</x:v>
      </x:c>
      <x:c r="B16" s="32"/>
      <x:c r="C16" s="34"/>
      <x:c r="D16" s="35"/>
      <x:c r="E16" s="32"/>
      <x:c r="F16" s="32"/>
      <x:c r="G16" s="32"/>
      <x:c r="H16" s="32"/>
      <x:c r="I16" s="32"/>
      <x:c r="J16" s="32"/>
      <x:c r="K16" s="36"/>
      <x:c r="L16" s="36"/>
      <x:c r="M16" s="36"/>
      <x:c r="N16" s="37"/>
      <x:c r="O16" s="37"/>
      <x:c r="P16" s="32"/>
      <x:c r="Q16" s="33" t="str">
        <x:f>IF(OR(B16="",C16="",F16="",I16=""),"",B16&amp;"|"&amp;TEXT(C16,"yyyy-mm-dd")&amp;"|"&amp;F16&amp;"|"&amp;I16)</x:f>
      </x:c>
      <x:c r="R16" s="38" t="str">
        <x:f>IF(OR(K16="",L16="",M16=""),"",SUM(K16:M16))</x:f>
      </x:c>
    </x:row>
    <x:row r="17">
      <x:c r="A17" s="32" t="str">
        <x:v>OBS0013</x:v>
      </x:c>
      <x:c r="B17" s="32"/>
      <x:c r="C17" s="34"/>
      <x:c r="D17" s="35"/>
      <x:c r="E17" s="32"/>
      <x:c r="F17" s="32"/>
      <x:c r="G17" s="32"/>
      <x:c r="H17" s="32"/>
      <x:c r="I17" s="32"/>
      <x:c r="J17" s="32"/>
      <x:c r="K17" s="36"/>
      <x:c r="L17" s="36"/>
      <x:c r="M17" s="36"/>
      <x:c r="N17" s="37"/>
      <x:c r="O17" s="37"/>
      <x:c r="P17" s="32"/>
      <x:c r="Q17" s="33" t="str">
        <x:f>IF(OR(B17="",C17="",F17="",I17=""),"",B17&amp;"|"&amp;TEXT(C17,"yyyy-mm-dd")&amp;"|"&amp;F17&amp;"|"&amp;I17)</x:f>
      </x:c>
      <x:c r="R17" s="38" t="str">
        <x:f>IF(OR(K17="",L17="",M17=""),"",SUM(K17:M17))</x:f>
      </x:c>
    </x:row>
    <x:row r="18">
      <x:c r="A18" s="32" t="str">
        <x:v>OBS0014</x:v>
      </x:c>
      <x:c r="B18" s="32"/>
      <x:c r="C18" s="34"/>
      <x:c r="D18" s="35"/>
      <x:c r="E18" s="32"/>
      <x:c r="F18" s="32"/>
      <x:c r="G18" s="32"/>
      <x:c r="H18" s="32"/>
      <x:c r="I18" s="32"/>
      <x:c r="J18" s="32"/>
      <x:c r="K18" s="36"/>
      <x:c r="L18" s="36"/>
      <x:c r="M18" s="36"/>
      <x:c r="N18" s="37"/>
      <x:c r="O18" s="37"/>
      <x:c r="P18" s="32"/>
      <x:c r="Q18" s="33" t="str">
        <x:f>IF(OR(B18="",C18="",F18="",I18=""),"",B18&amp;"|"&amp;TEXT(C18,"yyyy-mm-dd")&amp;"|"&amp;F18&amp;"|"&amp;I18)</x:f>
      </x:c>
      <x:c r="R18" s="38" t="str">
        <x:f>IF(OR(K18="",L18="",M18=""),"",SUM(K18:M18))</x:f>
      </x:c>
    </x:row>
    <x:row r="19">
      <x:c r="A19" s="32" t="str">
        <x:v>OBS0015</x:v>
      </x:c>
      <x:c r="B19" s="32"/>
      <x:c r="C19" s="34"/>
      <x:c r="D19" s="35"/>
      <x:c r="E19" s="32"/>
      <x:c r="F19" s="32"/>
      <x:c r="G19" s="32"/>
      <x:c r="H19" s="32"/>
      <x:c r="I19" s="32"/>
      <x:c r="J19" s="32"/>
      <x:c r="K19" s="36"/>
      <x:c r="L19" s="36"/>
      <x:c r="M19" s="36"/>
      <x:c r="N19" s="37"/>
      <x:c r="O19" s="37"/>
      <x:c r="P19" s="32"/>
      <x:c r="Q19" s="33" t="str">
        <x:f>IF(OR(B19="",C19="",F19="",I19=""),"",B19&amp;"|"&amp;TEXT(C19,"yyyy-mm-dd")&amp;"|"&amp;F19&amp;"|"&amp;I19)</x:f>
      </x:c>
      <x:c r="R19" s="38" t="str">
        <x:f>IF(OR(K19="",L19="",M19=""),"",SUM(K19:M19))</x:f>
      </x:c>
    </x:row>
    <x:row r="20">
      <x:c r="A20" s="32" t="str">
        <x:v>OBS0016</x:v>
      </x:c>
      <x:c r="B20" s="32"/>
      <x:c r="C20" s="34"/>
      <x:c r="D20" s="35"/>
      <x:c r="E20" s="32"/>
      <x:c r="F20" s="32"/>
      <x:c r="G20" s="32"/>
      <x:c r="H20" s="32"/>
      <x:c r="I20" s="32"/>
      <x:c r="J20" s="32"/>
      <x:c r="K20" s="36"/>
      <x:c r="L20" s="36"/>
      <x:c r="M20" s="36"/>
      <x:c r="N20" s="37"/>
      <x:c r="O20" s="37"/>
      <x:c r="P20" s="32"/>
      <x:c r="Q20" s="33" t="str">
        <x:f>IF(OR(B20="",C20="",F20="",I20=""),"",B20&amp;"|"&amp;TEXT(C20,"yyyy-mm-dd")&amp;"|"&amp;F20&amp;"|"&amp;I20)</x:f>
      </x:c>
      <x:c r="R20" s="38" t="str">
        <x:f>IF(OR(K20="",L20="",M20=""),"",SUM(K20:M20))</x:f>
      </x:c>
    </x:row>
    <x:row r="21">
      <x:c r="A21" s="32" t="str">
        <x:v>OBS0017</x:v>
      </x:c>
      <x:c r="B21" s="32"/>
      <x:c r="C21" s="34"/>
      <x:c r="D21" s="35"/>
      <x:c r="E21" s="32"/>
      <x:c r="F21" s="32"/>
      <x:c r="G21" s="32"/>
      <x:c r="H21" s="32"/>
      <x:c r="I21" s="32"/>
      <x:c r="J21" s="32"/>
      <x:c r="K21" s="36"/>
      <x:c r="L21" s="36"/>
      <x:c r="M21" s="36"/>
      <x:c r="N21" s="37"/>
      <x:c r="O21" s="37"/>
      <x:c r="P21" s="32"/>
      <x:c r="Q21" s="33" t="str">
        <x:f>IF(OR(B21="",C21="",F21="",I21=""),"",B21&amp;"|"&amp;TEXT(C21,"yyyy-mm-dd")&amp;"|"&amp;F21&amp;"|"&amp;I21)</x:f>
      </x:c>
      <x:c r="R21" s="38" t="str">
        <x:f>IF(OR(K21="",L21="",M21=""),"",SUM(K21:M21))</x:f>
      </x:c>
    </x:row>
    <x:row r="22">
      <x:c r="A22" s="32" t="str">
        <x:v>OBS0018</x:v>
      </x:c>
      <x:c r="B22" s="32"/>
      <x:c r="C22" s="34"/>
      <x:c r="D22" s="35"/>
      <x:c r="E22" s="32"/>
      <x:c r="F22" s="32"/>
      <x:c r="G22" s="32"/>
      <x:c r="H22" s="32"/>
      <x:c r="I22" s="32"/>
      <x:c r="J22" s="32"/>
      <x:c r="K22" s="36"/>
      <x:c r="L22" s="36"/>
      <x:c r="M22" s="36"/>
      <x:c r="N22" s="37"/>
      <x:c r="O22" s="37"/>
      <x:c r="P22" s="32"/>
      <x:c r="Q22" s="33" t="str">
        <x:f>IF(OR(B22="",C22="",F22="",I22=""),"",B22&amp;"|"&amp;TEXT(C22,"yyyy-mm-dd")&amp;"|"&amp;F22&amp;"|"&amp;I22)</x:f>
      </x:c>
      <x:c r="R22" s="38" t="str">
        <x:f>IF(OR(K22="",L22="",M22=""),"",SUM(K22:M22))</x:f>
      </x:c>
    </x:row>
    <x:row r="23">
      <x:c r="A23" s="32" t="str">
        <x:v>OBS0019</x:v>
      </x:c>
      <x:c r="B23" s="32"/>
      <x:c r="C23" s="34"/>
      <x:c r="D23" s="35"/>
      <x:c r="E23" s="32"/>
      <x:c r="F23" s="32"/>
      <x:c r="G23" s="32"/>
      <x:c r="H23" s="32"/>
      <x:c r="I23" s="32"/>
      <x:c r="J23" s="32"/>
      <x:c r="K23" s="36"/>
      <x:c r="L23" s="36"/>
      <x:c r="M23" s="36"/>
      <x:c r="N23" s="37"/>
      <x:c r="O23" s="37"/>
      <x:c r="P23" s="32"/>
      <x:c r="Q23" s="33" t="str">
        <x:f>IF(OR(B23="",C23="",F23="",I23=""),"",B23&amp;"|"&amp;TEXT(C23,"yyyy-mm-dd")&amp;"|"&amp;F23&amp;"|"&amp;I23)</x:f>
      </x:c>
      <x:c r="R23" s="38" t="str">
        <x:f>IF(OR(K23="",L23="",M23=""),"",SUM(K23:M23))</x:f>
      </x:c>
    </x:row>
    <x:row r="24">
      <x:c r="A24" s="32" t="str">
        <x:v>OBS0020</x:v>
      </x:c>
      <x:c r="B24" s="32"/>
      <x:c r="C24" s="34"/>
      <x:c r="D24" s="35"/>
      <x:c r="E24" s="32"/>
      <x:c r="F24" s="32"/>
      <x:c r="G24" s="32"/>
      <x:c r="H24" s="32"/>
      <x:c r="I24" s="32"/>
      <x:c r="J24" s="32"/>
      <x:c r="K24" s="36"/>
      <x:c r="L24" s="36"/>
      <x:c r="M24" s="36"/>
      <x:c r="N24" s="37"/>
      <x:c r="O24" s="37"/>
      <x:c r="P24" s="32"/>
      <x:c r="Q24" s="33" t="str">
        <x:f>IF(OR(B24="",C24="",F24="",I24=""),"",B24&amp;"|"&amp;TEXT(C24,"yyyy-mm-dd")&amp;"|"&amp;F24&amp;"|"&amp;I24)</x:f>
      </x:c>
      <x:c r="R24" s="38" t="str">
        <x:f>IF(OR(K24="",L24="",M24=""),"",SUM(K24:M24))</x:f>
      </x:c>
    </x:row>
    <x:row r="25">
      <x:c r="A25" s="32" t="str">
        <x:v>OBS0021</x:v>
      </x:c>
      <x:c r="B25" s="32"/>
      <x:c r="C25" s="34"/>
      <x:c r="D25" s="35"/>
      <x:c r="E25" s="32"/>
      <x:c r="F25" s="32"/>
      <x:c r="G25" s="32"/>
      <x:c r="H25" s="32"/>
      <x:c r="I25" s="32"/>
      <x:c r="J25" s="32"/>
      <x:c r="K25" s="36"/>
      <x:c r="L25" s="36"/>
      <x:c r="M25" s="36"/>
      <x:c r="N25" s="37"/>
      <x:c r="O25" s="37"/>
      <x:c r="P25" s="32"/>
      <x:c r="Q25" s="33" t="str">
        <x:f>IF(OR(B25="",C25="",F25="",I25=""),"",B25&amp;"|"&amp;TEXT(C25,"yyyy-mm-dd")&amp;"|"&amp;F25&amp;"|"&amp;I25)</x:f>
      </x:c>
      <x:c r="R25" s="38" t="str">
        <x:f>IF(OR(K25="",L25="",M25=""),"",SUM(K25:M25))</x:f>
      </x:c>
    </x:row>
    <x:row r="26">
      <x:c r="A26" s="32" t="str">
        <x:v>OBS0022</x:v>
      </x:c>
      <x:c r="B26" s="32"/>
      <x:c r="C26" s="34"/>
      <x:c r="D26" s="35"/>
      <x:c r="E26" s="32"/>
      <x:c r="F26" s="32"/>
      <x:c r="G26" s="32"/>
      <x:c r="H26" s="32"/>
      <x:c r="I26" s="32"/>
      <x:c r="J26" s="32"/>
      <x:c r="K26" s="36"/>
      <x:c r="L26" s="36"/>
      <x:c r="M26" s="36"/>
      <x:c r="N26" s="37"/>
      <x:c r="O26" s="37"/>
      <x:c r="P26" s="32"/>
      <x:c r="Q26" s="33" t="str">
        <x:f>IF(OR(B26="",C26="",F26="",I26=""),"",B26&amp;"|"&amp;TEXT(C26,"yyyy-mm-dd")&amp;"|"&amp;F26&amp;"|"&amp;I26)</x:f>
      </x:c>
      <x:c r="R26" s="38" t="str">
        <x:f>IF(OR(K26="",L26="",M26=""),"",SUM(K26:M26))</x:f>
      </x:c>
    </x:row>
    <x:row r="27">
      <x:c r="A27" s="32" t="str">
        <x:v>OBS0023</x:v>
      </x:c>
      <x:c r="B27" s="32"/>
      <x:c r="C27" s="34"/>
      <x:c r="D27" s="35"/>
      <x:c r="E27" s="32"/>
      <x:c r="F27" s="32"/>
      <x:c r="G27" s="32"/>
      <x:c r="H27" s="32"/>
      <x:c r="I27" s="32"/>
      <x:c r="J27" s="32"/>
      <x:c r="K27" s="36"/>
      <x:c r="L27" s="36"/>
      <x:c r="M27" s="36"/>
      <x:c r="N27" s="37"/>
      <x:c r="O27" s="37"/>
      <x:c r="P27" s="32"/>
      <x:c r="Q27" s="33" t="str">
        <x:f>IF(OR(B27="",C27="",F27="",I27=""),"",B27&amp;"|"&amp;TEXT(C27,"yyyy-mm-dd")&amp;"|"&amp;F27&amp;"|"&amp;I27)</x:f>
      </x:c>
      <x:c r="R27" s="38" t="str">
        <x:f>IF(OR(K27="",L27="",M27=""),"",SUM(K27:M27))</x:f>
      </x:c>
    </x:row>
    <x:row r="28">
      <x:c r="A28" s="32" t="str">
        <x:v>OBS0024</x:v>
      </x:c>
      <x:c r="B28" s="32"/>
      <x:c r="C28" s="34"/>
      <x:c r="D28" s="35"/>
      <x:c r="E28" s="32"/>
      <x:c r="F28" s="32"/>
      <x:c r="G28" s="32"/>
      <x:c r="H28" s="32"/>
      <x:c r="I28" s="32"/>
      <x:c r="J28" s="32"/>
      <x:c r="K28" s="36"/>
      <x:c r="L28" s="36"/>
      <x:c r="M28" s="36"/>
      <x:c r="N28" s="37"/>
      <x:c r="O28" s="37"/>
      <x:c r="P28" s="32"/>
      <x:c r="Q28" s="33" t="str">
        <x:f>IF(OR(B28="",C28="",F28="",I28=""),"",B28&amp;"|"&amp;TEXT(C28,"yyyy-mm-dd")&amp;"|"&amp;F28&amp;"|"&amp;I28)</x:f>
      </x:c>
      <x:c r="R28" s="38" t="str">
        <x:f>IF(OR(K28="",L28="",M28=""),"",SUM(K28:M28))</x:f>
      </x:c>
    </x:row>
    <x:row r="29">
      <x:c r="A29" s="32" t="str">
        <x:v>OBS0025</x:v>
      </x:c>
      <x:c r="B29" s="32"/>
      <x:c r="C29" s="34"/>
      <x:c r="D29" s="35"/>
      <x:c r="E29" s="32"/>
      <x:c r="F29" s="32"/>
      <x:c r="G29" s="32"/>
      <x:c r="H29" s="32"/>
      <x:c r="I29" s="32"/>
      <x:c r="J29" s="32"/>
      <x:c r="K29" s="36"/>
      <x:c r="L29" s="36"/>
      <x:c r="M29" s="36"/>
      <x:c r="N29" s="37"/>
      <x:c r="O29" s="37"/>
      <x:c r="P29" s="32"/>
      <x:c r="Q29" s="33" t="str">
        <x:f>IF(OR(B29="",C29="",F29="",I29=""),"",B29&amp;"|"&amp;TEXT(C29,"yyyy-mm-dd")&amp;"|"&amp;F29&amp;"|"&amp;I29)</x:f>
      </x:c>
      <x:c r="R29" s="38" t="str">
        <x:f>IF(OR(K29="",L29="",M29=""),"",SUM(K29:M29))</x:f>
      </x:c>
    </x:row>
    <x:row r="30">
      <x:c r="A30" s="32" t="str">
        <x:v>OBS0026</x:v>
      </x:c>
      <x:c r="B30" s="32"/>
      <x:c r="C30" s="34"/>
      <x:c r="D30" s="35"/>
      <x:c r="E30" s="32"/>
      <x:c r="F30" s="32"/>
      <x:c r="G30" s="32"/>
      <x:c r="H30" s="32"/>
      <x:c r="I30" s="32"/>
      <x:c r="J30" s="32"/>
      <x:c r="K30" s="36"/>
      <x:c r="L30" s="36"/>
      <x:c r="M30" s="36"/>
      <x:c r="N30" s="37"/>
      <x:c r="O30" s="37"/>
      <x:c r="P30" s="32"/>
      <x:c r="Q30" s="33" t="str">
        <x:f>IF(OR(B30="",C30="",F30="",I30=""),"",B30&amp;"|"&amp;TEXT(C30,"yyyy-mm-dd")&amp;"|"&amp;F30&amp;"|"&amp;I30)</x:f>
      </x:c>
      <x:c r="R30" s="38" t="str">
        <x:f>IF(OR(K30="",L30="",M30=""),"",SUM(K30:M30))</x:f>
      </x:c>
    </x:row>
    <x:row r="31">
      <x:c r="A31" s="32" t="str">
        <x:v>OBS0027</x:v>
      </x:c>
      <x:c r="B31" s="32"/>
      <x:c r="C31" s="34"/>
      <x:c r="D31" s="35"/>
      <x:c r="E31" s="32"/>
      <x:c r="F31" s="32"/>
      <x:c r="G31" s="32"/>
      <x:c r="H31" s="32"/>
      <x:c r="I31" s="32"/>
      <x:c r="J31" s="32"/>
      <x:c r="K31" s="36"/>
      <x:c r="L31" s="36"/>
      <x:c r="M31" s="36"/>
      <x:c r="N31" s="37"/>
      <x:c r="O31" s="37"/>
      <x:c r="P31" s="32"/>
      <x:c r="Q31" s="33" t="str">
        <x:f>IF(OR(B31="",C31="",F31="",I31=""),"",B31&amp;"|"&amp;TEXT(C31,"yyyy-mm-dd")&amp;"|"&amp;F31&amp;"|"&amp;I31)</x:f>
      </x:c>
      <x:c r="R31" s="38" t="str">
        <x:f>IF(OR(K31="",L31="",M31=""),"",SUM(K31:M31))</x:f>
      </x:c>
    </x:row>
    <x:row r="32">
      <x:c r="A32" s="32" t="str">
        <x:v>OBS0028</x:v>
      </x:c>
      <x:c r="B32" s="32"/>
      <x:c r="C32" s="34"/>
      <x:c r="D32" s="35"/>
      <x:c r="E32" s="32"/>
      <x:c r="F32" s="32"/>
      <x:c r="G32" s="32"/>
      <x:c r="H32" s="32"/>
      <x:c r="I32" s="32"/>
      <x:c r="J32" s="32"/>
      <x:c r="K32" s="36"/>
      <x:c r="L32" s="36"/>
      <x:c r="M32" s="36"/>
      <x:c r="N32" s="37"/>
      <x:c r="O32" s="37"/>
      <x:c r="P32" s="32"/>
      <x:c r="Q32" s="33" t="str">
        <x:f>IF(OR(B32="",C32="",F32="",I32=""),"",B32&amp;"|"&amp;TEXT(C32,"yyyy-mm-dd")&amp;"|"&amp;F32&amp;"|"&amp;I32)</x:f>
      </x:c>
      <x:c r="R32" s="38" t="str">
        <x:f>IF(OR(K32="",L32="",M32=""),"",SUM(K32:M32))</x:f>
      </x:c>
    </x:row>
    <x:row r="33">
      <x:c r="A33" s="32" t="str">
        <x:v>OBS0029</x:v>
      </x:c>
      <x:c r="B33" s="32"/>
      <x:c r="C33" s="34"/>
      <x:c r="D33" s="35"/>
      <x:c r="E33" s="32"/>
      <x:c r="F33" s="32"/>
      <x:c r="G33" s="32"/>
      <x:c r="H33" s="32"/>
      <x:c r="I33" s="32"/>
      <x:c r="J33" s="32"/>
      <x:c r="K33" s="36"/>
      <x:c r="L33" s="36"/>
      <x:c r="M33" s="36"/>
      <x:c r="N33" s="37"/>
      <x:c r="O33" s="37"/>
      <x:c r="P33" s="32"/>
      <x:c r="Q33" s="33" t="str">
        <x:f>IF(OR(B33="",C33="",F33="",I33=""),"",B33&amp;"|"&amp;TEXT(C33,"yyyy-mm-dd")&amp;"|"&amp;F33&amp;"|"&amp;I33)</x:f>
      </x:c>
      <x:c r="R33" s="38" t="str">
        <x:f>IF(OR(K33="",L33="",M33=""),"",SUM(K33:M33))</x:f>
      </x:c>
    </x:row>
    <x:row r="34">
      <x:c r="A34" s="32" t="str">
        <x:v>OBS0030</x:v>
      </x:c>
      <x:c r="B34" s="32"/>
      <x:c r="C34" s="34"/>
      <x:c r="D34" s="35"/>
      <x:c r="E34" s="32"/>
      <x:c r="F34" s="32"/>
      <x:c r="G34" s="32"/>
      <x:c r="H34" s="32"/>
      <x:c r="I34" s="32"/>
      <x:c r="J34" s="32"/>
      <x:c r="K34" s="36"/>
      <x:c r="L34" s="36"/>
      <x:c r="M34" s="36"/>
      <x:c r="N34" s="37"/>
      <x:c r="O34" s="37"/>
      <x:c r="P34" s="32"/>
      <x:c r="Q34" s="33" t="str">
        <x:f>IF(OR(B34="",C34="",F34="",I34=""),"",B34&amp;"|"&amp;TEXT(C34,"yyyy-mm-dd")&amp;"|"&amp;F34&amp;"|"&amp;I34)</x:f>
      </x:c>
      <x:c r="R34" s="38" t="str">
        <x:f>IF(OR(K34="",L34="",M34=""),"",SUM(K34:M34))</x:f>
      </x:c>
    </x:row>
    <x:row r="35">
      <x:c r="A35" s="32" t="str">
        <x:v>OBS0031</x:v>
      </x:c>
      <x:c r="B35" s="32"/>
      <x:c r="C35" s="34"/>
      <x:c r="D35" s="35"/>
      <x:c r="E35" s="32"/>
      <x:c r="F35" s="32"/>
      <x:c r="G35" s="32"/>
      <x:c r="H35" s="32"/>
      <x:c r="I35" s="32"/>
      <x:c r="J35" s="32"/>
      <x:c r="K35" s="36"/>
      <x:c r="L35" s="36"/>
      <x:c r="M35" s="36"/>
      <x:c r="N35" s="37"/>
      <x:c r="O35" s="37"/>
      <x:c r="P35" s="32"/>
      <x:c r="Q35" s="33" t="str">
        <x:f>IF(OR(B35="",C35="",F35="",I35=""),"",B35&amp;"|"&amp;TEXT(C35,"yyyy-mm-dd")&amp;"|"&amp;F35&amp;"|"&amp;I35)</x:f>
      </x:c>
      <x:c r="R35" s="38" t="str">
        <x:f>IF(OR(K35="",L35="",M35=""),"",SUM(K35:M35))</x:f>
      </x:c>
    </x:row>
    <x:row r="36">
      <x:c r="A36" s="32" t="str">
        <x:v>OBS0032</x:v>
      </x:c>
      <x:c r="B36" s="32"/>
      <x:c r="C36" s="34"/>
      <x:c r="D36" s="35"/>
      <x:c r="E36" s="32"/>
      <x:c r="F36" s="32"/>
      <x:c r="G36" s="32"/>
      <x:c r="H36" s="32"/>
      <x:c r="I36" s="32"/>
      <x:c r="J36" s="32"/>
      <x:c r="K36" s="36"/>
      <x:c r="L36" s="36"/>
      <x:c r="M36" s="36"/>
      <x:c r="N36" s="37"/>
      <x:c r="O36" s="37"/>
      <x:c r="P36" s="32"/>
      <x:c r="Q36" s="33" t="str">
        <x:f>IF(OR(B36="",C36="",F36="",I36=""),"",B36&amp;"|"&amp;TEXT(C36,"yyyy-mm-dd")&amp;"|"&amp;F36&amp;"|"&amp;I36)</x:f>
      </x:c>
      <x:c r="R36" s="38" t="str">
        <x:f>IF(OR(K36="",L36="",M36=""),"",SUM(K36:M36))</x:f>
      </x:c>
    </x:row>
    <x:row r="37">
      <x:c r="A37" s="32" t="str">
        <x:v>OBS0033</x:v>
      </x:c>
      <x:c r="B37" s="32"/>
      <x:c r="C37" s="34"/>
      <x:c r="D37" s="35"/>
      <x:c r="E37" s="32"/>
      <x:c r="F37" s="32"/>
      <x:c r="G37" s="32"/>
      <x:c r="H37" s="32"/>
      <x:c r="I37" s="32"/>
      <x:c r="J37" s="32"/>
      <x:c r="K37" s="36"/>
      <x:c r="L37" s="36"/>
      <x:c r="M37" s="36"/>
      <x:c r="N37" s="37"/>
      <x:c r="O37" s="37"/>
      <x:c r="P37" s="32"/>
      <x:c r="Q37" s="33" t="str">
        <x:f>IF(OR(B37="",C37="",F37="",I37=""),"",B37&amp;"|"&amp;TEXT(C37,"yyyy-mm-dd")&amp;"|"&amp;F37&amp;"|"&amp;I37)</x:f>
      </x:c>
      <x:c r="R37" s="38" t="str">
        <x:f>IF(OR(K37="",L37="",M37=""),"",SUM(K37:M37))</x:f>
      </x:c>
    </x:row>
    <x:row r="38">
      <x:c r="A38" s="32" t="str">
        <x:v>OBS0034</x:v>
      </x:c>
      <x:c r="B38" s="32"/>
      <x:c r="C38" s="34"/>
      <x:c r="D38" s="35"/>
      <x:c r="E38" s="32"/>
      <x:c r="F38" s="32"/>
      <x:c r="G38" s="32"/>
      <x:c r="H38" s="32"/>
      <x:c r="I38" s="32"/>
      <x:c r="J38" s="32"/>
      <x:c r="K38" s="36"/>
      <x:c r="L38" s="36"/>
      <x:c r="M38" s="36"/>
      <x:c r="N38" s="37"/>
      <x:c r="O38" s="37"/>
      <x:c r="P38" s="32"/>
      <x:c r="Q38" s="33" t="str">
        <x:f>IF(OR(B38="",C38="",F38="",I38=""),"",B38&amp;"|"&amp;TEXT(C38,"yyyy-mm-dd")&amp;"|"&amp;F38&amp;"|"&amp;I38)</x:f>
      </x:c>
      <x:c r="R38" s="38" t="str">
        <x:f>IF(OR(K38="",L38="",M38=""),"",SUM(K38:M38))</x:f>
      </x:c>
    </x:row>
    <x:row r="39">
      <x:c r="A39" s="32" t="str">
        <x:v>OBS0035</x:v>
      </x:c>
      <x:c r="B39" s="32"/>
      <x:c r="C39" s="34"/>
      <x:c r="D39" s="35"/>
      <x:c r="E39" s="32"/>
      <x:c r="F39" s="32"/>
      <x:c r="G39" s="32"/>
      <x:c r="H39" s="32"/>
      <x:c r="I39" s="32"/>
      <x:c r="J39" s="32"/>
      <x:c r="K39" s="36"/>
      <x:c r="L39" s="36"/>
      <x:c r="M39" s="36"/>
      <x:c r="N39" s="37"/>
      <x:c r="O39" s="37"/>
      <x:c r="P39" s="32"/>
      <x:c r="Q39" s="33" t="str">
        <x:f>IF(OR(B39="",C39="",F39="",I39=""),"",B39&amp;"|"&amp;TEXT(C39,"yyyy-mm-dd")&amp;"|"&amp;F39&amp;"|"&amp;I39)</x:f>
      </x:c>
      <x:c r="R39" s="38" t="str">
        <x:f>IF(OR(K39="",L39="",M39=""),"",SUM(K39:M39))</x:f>
      </x:c>
    </x:row>
    <x:row r="40">
      <x:c r="A40" s="32" t="str">
        <x:v>OBS0036</x:v>
      </x:c>
      <x:c r="B40" s="32"/>
      <x:c r="C40" s="34"/>
      <x:c r="D40" s="35"/>
      <x:c r="E40" s="32"/>
      <x:c r="F40" s="32"/>
      <x:c r="G40" s="32"/>
      <x:c r="H40" s="32"/>
      <x:c r="I40" s="32"/>
      <x:c r="J40" s="32"/>
      <x:c r="K40" s="36"/>
      <x:c r="L40" s="36"/>
      <x:c r="M40" s="36"/>
      <x:c r="N40" s="37"/>
      <x:c r="O40" s="37"/>
      <x:c r="P40" s="32"/>
      <x:c r="Q40" s="33" t="str">
        <x:f>IF(OR(B40="",C40="",F40="",I40=""),"",B40&amp;"|"&amp;TEXT(C40,"yyyy-mm-dd")&amp;"|"&amp;F40&amp;"|"&amp;I40)</x:f>
      </x:c>
      <x:c r="R40" s="38" t="str">
        <x:f>IF(OR(K40="",L40="",M40=""),"",SUM(K40:M40))</x:f>
      </x:c>
    </x:row>
    <x:row r="41">
      <x:c r="A41" s="32" t="str">
        <x:v>OBS0037</x:v>
      </x:c>
      <x:c r="B41" s="32"/>
      <x:c r="C41" s="34"/>
      <x:c r="D41" s="35"/>
      <x:c r="E41" s="32"/>
      <x:c r="F41" s="32"/>
      <x:c r="G41" s="32"/>
      <x:c r="H41" s="32"/>
      <x:c r="I41" s="32"/>
      <x:c r="J41" s="32"/>
      <x:c r="K41" s="36"/>
      <x:c r="L41" s="36"/>
      <x:c r="M41" s="36"/>
      <x:c r="N41" s="37"/>
      <x:c r="O41" s="37"/>
      <x:c r="P41" s="32"/>
      <x:c r="Q41" s="33" t="str">
        <x:f>IF(OR(B41="",C41="",F41="",I41=""),"",B41&amp;"|"&amp;TEXT(C41,"yyyy-mm-dd")&amp;"|"&amp;F41&amp;"|"&amp;I41)</x:f>
      </x:c>
      <x:c r="R41" s="38" t="str">
        <x:f>IF(OR(K41="",L41="",M41=""),"",SUM(K41:M41))</x:f>
      </x:c>
    </x:row>
    <x:row r="42">
      <x:c r="A42" s="32" t="str">
        <x:v>OBS0038</x:v>
      </x:c>
      <x:c r="B42" s="32"/>
      <x:c r="C42" s="34"/>
      <x:c r="D42" s="35"/>
      <x:c r="E42" s="32"/>
      <x:c r="F42" s="32"/>
      <x:c r="G42" s="32"/>
      <x:c r="H42" s="32"/>
      <x:c r="I42" s="32"/>
      <x:c r="J42" s="32"/>
      <x:c r="K42" s="36"/>
      <x:c r="L42" s="36"/>
      <x:c r="M42" s="36"/>
      <x:c r="N42" s="37"/>
      <x:c r="O42" s="37"/>
      <x:c r="P42" s="32"/>
      <x:c r="Q42" s="33" t="str">
        <x:f>IF(OR(B42="",C42="",F42="",I42=""),"",B42&amp;"|"&amp;TEXT(C42,"yyyy-mm-dd")&amp;"|"&amp;F42&amp;"|"&amp;I42)</x:f>
      </x:c>
      <x:c r="R42" s="38" t="str">
        <x:f>IF(OR(K42="",L42="",M42=""),"",SUM(K42:M42))</x:f>
      </x:c>
    </x:row>
    <x:row r="43">
      <x:c r="A43" s="32" t="str">
        <x:v>OBS0039</x:v>
      </x:c>
      <x:c r="B43" s="32"/>
      <x:c r="C43" s="34"/>
      <x:c r="D43" s="35"/>
      <x:c r="E43" s="32"/>
      <x:c r="F43" s="32"/>
      <x:c r="G43" s="32"/>
      <x:c r="H43" s="32"/>
      <x:c r="I43" s="32"/>
      <x:c r="J43" s="32"/>
      <x:c r="K43" s="36"/>
      <x:c r="L43" s="36"/>
      <x:c r="M43" s="36"/>
      <x:c r="N43" s="37"/>
      <x:c r="O43" s="37"/>
      <x:c r="P43" s="32"/>
      <x:c r="Q43" s="33" t="str">
        <x:f>IF(OR(B43="",C43="",F43="",I43=""),"",B43&amp;"|"&amp;TEXT(C43,"yyyy-mm-dd")&amp;"|"&amp;F43&amp;"|"&amp;I43)</x:f>
      </x:c>
      <x:c r="R43" s="38" t="str">
        <x:f>IF(OR(K43="",L43="",M43=""),"",SUM(K43:M43))</x:f>
      </x:c>
    </x:row>
    <x:row r="44">
      <x:c r="A44" s="32" t="str">
        <x:v>OBS0040</x:v>
      </x:c>
      <x:c r="B44" s="32"/>
      <x:c r="C44" s="34"/>
      <x:c r="D44" s="35"/>
      <x:c r="E44" s="32"/>
      <x:c r="F44" s="32"/>
      <x:c r="G44" s="32"/>
      <x:c r="H44" s="32"/>
      <x:c r="I44" s="32"/>
      <x:c r="J44" s="32"/>
      <x:c r="K44" s="36"/>
      <x:c r="L44" s="36"/>
      <x:c r="M44" s="36"/>
      <x:c r="N44" s="37"/>
      <x:c r="O44" s="37"/>
      <x:c r="P44" s="32"/>
      <x:c r="Q44" s="33" t="str">
        <x:f>IF(OR(B44="",C44="",F44="",I44=""),"",B44&amp;"|"&amp;TEXT(C44,"yyyy-mm-dd")&amp;"|"&amp;F44&amp;"|"&amp;I44)</x:f>
      </x:c>
      <x:c r="R44" s="38" t="str">
        <x:f>IF(OR(K44="",L44="",M44=""),"",SUM(K44:M44))</x:f>
      </x:c>
    </x:row>
    <x:row r="45">
      <x:c r="A45" s="32" t="str">
        <x:v>OBS0041</x:v>
      </x:c>
      <x:c r="B45" s="32"/>
      <x:c r="C45" s="34"/>
      <x:c r="D45" s="35"/>
      <x:c r="E45" s="32"/>
      <x:c r="F45" s="32"/>
      <x:c r="G45" s="32"/>
      <x:c r="H45" s="32"/>
      <x:c r="I45" s="32"/>
      <x:c r="J45" s="32"/>
      <x:c r="K45" s="36"/>
      <x:c r="L45" s="36"/>
      <x:c r="M45" s="36"/>
      <x:c r="N45" s="37"/>
      <x:c r="O45" s="37"/>
      <x:c r="P45" s="32"/>
      <x:c r="Q45" s="33" t="str">
        <x:f>IF(OR(B45="",C45="",F45="",I45=""),"",B45&amp;"|"&amp;TEXT(C45,"yyyy-mm-dd")&amp;"|"&amp;F45&amp;"|"&amp;I45)</x:f>
      </x:c>
      <x:c r="R45" s="38" t="str">
        <x:f>IF(OR(K45="",L45="",M45=""),"",SUM(K45:M45))</x:f>
      </x:c>
    </x:row>
    <x:row r="46">
      <x:c r="A46" s="32" t="str">
        <x:v>OBS0042</x:v>
      </x:c>
      <x:c r="B46" s="32"/>
      <x:c r="C46" s="34"/>
      <x:c r="D46" s="35"/>
      <x:c r="E46" s="32"/>
      <x:c r="F46" s="32"/>
      <x:c r="G46" s="32"/>
      <x:c r="H46" s="32"/>
      <x:c r="I46" s="32"/>
      <x:c r="J46" s="32"/>
      <x:c r="K46" s="36"/>
      <x:c r="L46" s="36"/>
      <x:c r="M46" s="36"/>
      <x:c r="N46" s="37"/>
      <x:c r="O46" s="37"/>
      <x:c r="P46" s="32"/>
      <x:c r="Q46" s="33" t="str">
        <x:f>IF(OR(B46="",C46="",F46="",I46=""),"",B46&amp;"|"&amp;TEXT(C46,"yyyy-mm-dd")&amp;"|"&amp;F46&amp;"|"&amp;I46)</x:f>
      </x:c>
      <x:c r="R46" s="38" t="str">
        <x:f>IF(OR(K46="",L46="",M46=""),"",SUM(K46:M46))</x:f>
      </x:c>
    </x:row>
    <x:row r="47">
      <x:c r="A47" s="32" t="str">
        <x:v>OBS0043</x:v>
      </x:c>
      <x:c r="B47" s="32"/>
      <x:c r="C47" s="34"/>
      <x:c r="D47" s="35"/>
      <x:c r="E47" s="32"/>
      <x:c r="F47" s="32"/>
      <x:c r="G47" s="32"/>
      <x:c r="H47" s="32"/>
      <x:c r="I47" s="32"/>
      <x:c r="J47" s="32"/>
      <x:c r="K47" s="36"/>
      <x:c r="L47" s="36"/>
      <x:c r="M47" s="36"/>
      <x:c r="N47" s="37"/>
      <x:c r="O47" s="37"/>
      <x:c r="P47" s="32"/>
      <x:c r="Q47" s="33" t="str">
        <x:f>IF(OR(B47="",C47="",F47="",I47=""),"",B47&amp;"|"&amp;TEXT(C47,"yyyy-mm-dd")&amp;"|"&amp;F47&amp;"|"&amp;I47)</x:f>
      </x:c>
      <x:c r="R47" s="38" t="str">
        <x:f>IF(OR(K47="",L47="",M47=""),"",SUM(K47:M47))</x:f>
      </x:c>
    </x:row>
    <x:row r="48">
      <x:c r="A48" s="32" t="str">
        <x:v>OBS0044</x:v>
      </x:c>
      <x:c r="B48" s="32"/>
      <x:c r="C48" s="34"/>
      <x:c r="D48" s="35"/>
      <x:c r="E48" s="32"/>
      <x:c r="F48" s="32"/>
      <x:c r="G48" s="32"/>
      <x:c r="H48" s="32"/>
      <x:c r="I48" s="32"/>
      <x:c r="J48" s="32"/>
      <x:c r="K48" s="36"/>
      <x:c r="L48" s="36"/>
      <x:c r="M48" s="36"/>
      <x:c r="N48" s="37"/>
      <x:c r="O48" s="37"/>
      <x:c r="P48" s="32"/>
      <x:c r="Q48" s="33" t="str">
        <x:f>IF(OR(B48="",C48="",F48="",I48=""),"",B48&amp;"|"&amp;TEXT(C48,"yyyy-mm-dd")&amp;"|"&amp;F48&amp;"|"&amp;I48)</x:f>
      </x:c>
      <x:c r="R48" s="38" t="str">
        <x:f>IF(OR(K48="",L48="",M48=""),"",SUM(K48:M48))</x:f>
      </x:c>
    </x:row>
    <x:row r="49">
      <x:c r="A49" s="32" t="str">
        <x:v>OBS0045</x:v>
      </x:c>
      <x:c r="B49" s="32"/>
      <x:c r="C49" s="34"/>
      <x:c r="D49" s="35"/>
      <x:c r="E49" s="32"/>
      <x:c r="F49" s="32"/>
      <x:c r="G49" s="32"/>
      <x:c r="H49" s="32"/>
      <x:c r="I49" s="32"/>
      <x:c r="J49" s="32"/>
      <x:c r="K49" s="36"/>
      <x:c r="L49" s="36"/>
      <x:c r="M49" s="36"/>
      <x:c r="N49" s="37"/>
      <x:c r="O49" s="37"/>
      <x:c r="P49" s="32"/>
      <x:c r="Q49" s="33" t="str">
        <x:f>IF(OR(B49="",C49="",F49="",I49=""),"",B49&amp;"|"&amp;TEXT(C49,"yyyy-mm-dd")&amp;"|"&amp;F49&amp;"|"&amp;I49)</x:f>
      </x:c>
      <x:c r="R49" s="38" t="str">
        <x:f>IF(OR(K49="",L49="",M49=""),"",SUM(K49:M49))</x:f>
      </x:c>
    </x:row>
    <x:row r="50">
      <x:c r="A50" s="32" t="str">
        <x:v>OBS0046</x:v>
      </x:c>
      <x:c r="B50" s="32"/>
      <x:c r="C50" s="34"/>
      <x:c r="D50" s="35"/>
      <x:c r="E50" s="32"/>
      <x:c r="F50" s="32"/>
      <x:c r="G50" s="32"/>
      <x:c r="H50" s="32"/>
      <x:c r="I50" s="32"/>
      <x:c r="J50" s="32"/>
      <x:c r="K50" s="36"/>
      <x:c r="L50" s="36"/>
      <x:c r="M50" s="36"/>
      <x:c r="N50" s="37"/>
      <x:c r="O50" s="37"/>
      <x:c r="P50" s="32"/>
      <x:c r="Q50" s="33" t="str">
        <x:f>IF(OR(B50="",C50="",F50="",I50=""),"",B50&amp;"|"&amp;TEXT(C50,"yyyy-mm-dd")&amp;"|"&amp;F50&amp;"|"&amp;I50)</x:f>
      </x:c>
      <x:c r="R50" s="38" t="str">
        <x:f>IF(OR(K50="",L50="",M50=""),"",SUM(K50:M50))</x:f>
      </x:c>
    </x:row>
    <x:row r="51">
      <x:c r="A51" s="32" t="str">
        <x:v>OBS0047</x:v>
      </x:c>
      <x:c r="B51" s="32"/>
      <x:c r="C51" s="34"/>
      <x:c r="D51" s="35"/>
      <x:c r="E51" s="32"/>
      <x:c r="F51" s="32"/>
      <x:c r="G51" s="32"/>
      <x:c r="H51" s="32"/>
      <x:c r="I51" s="32"/>
      <x:c r="J51" s="32"/>
      <x:c r="K51" s="36"/>
      <x:c r="L51" s="36"/>
      <x:c r="M51" s="36"/>
      <x:c r="N51" s="37"/>
      <x:c r="O51" s="37"/>
      <x:c r="P51" s="32"/>
      <x:c r="Q51" s="33" t="str">
        <x:f>IF(OR(B51="",C51="",F51="",I51=""),"",B51&amp;"|"&amp;TEXT(C51,"yyyy-mm-dd")&amp;"|"&amp;F51&amp;"|"&amp;I51)</x:f>
      </x:c>
      <x:c r="R51" s="38" t="str">
        <x:f>IF(OR(K51="",L51="",M51=""),"",SUM(K51:M51))</x:f>
      </x:c>
    </x:row>
    <x:row r="52">
      <x:c r="A52" s="32" t="str">
        <x:v>OBS0048</x:v>
      </x:c>
      <x:c r="B52" s="32"/>
      <x:c r="C52" s="34"/>
      <x:c r="D52" s="35"/>
      <x:c r="E52" s="32"/>
      <x:c r="F52" s="32"/>
      <x:c r="G52" s="32"/>
      <x:c r="H52" s="32"/>
      <x:c r="I52" s="32"/>
      <x:c r="J52" s="32"/>
      <x:c r="K52" s="36"/>
      <x:c r="L52" s="36"/>
      <x:c r="M52" s="36"/>
      <x:c r="N52" s="37"/>
      <x:c r="O52" s="37"/>
      <x:c r="P52" s="32"/>
      <x:c r="Q52" s="33" t="str">
        <x:f>IF(OR(B52="",C52="",F52="",I52=""),"",B52&amp;"|"&amp;TEXT(C52,"yyyy-mm-dd")&amp;"|"&amp;F52&amp;"|"&amp;I52)</x:f>
      </x:c>
      <x:c r="R52" s="38" t="str">
        <x:f>IF(OR(K52="",L52="",M52=""),"",SUM(K52:M52))</x:f>
      </x:c>
    </x:row>
    <x:row r="53">
      <x:c r="A53" s="32" t="str">
        <x:v>OBS0049</x:v>
      </x:c>
      <x:c r="B53" s="32"/>
      <x:c r="C53" s="34"/>
      <x:c r="D53" s="35"/>
      <x:c r="E53" s="32"/>
      <x:c r="F53" s="32"/>
      <x:c r="G53" s="32"/>
      <x:c r="H53" s="32"/>
      <x:c r="I53" s="32"/>
      <x:c r="J53" s="32"/>
      <x:c r="K53" s="36"/>
      <x:c r="L53" s="36"/>
      <x:c r="M53" s="36"/>
      <x:c r="N53" s="37"/>
      <x:c r="O53" s="37"/>
      <x:c r="P53" s="32"/>
      <x:c r="Q53" s="33" t="str">
        <x:f>IF(OR(B53="",C53="",F53="",I53=""),"",B53&amp;"|"&amp;TEXT(C53,"yyyy-mm-dd")&amp;"|"&amp;F53&amp;"|"&amp;I53)</x:f>
      </x:c>
      <x:c r="R53" s="38" t="str">
        <x:f>IF(OR(K53="",L53="",M53=""),"",SUM(K53:M53))</x:f>
      </x:c>
    </x:row>
    <x:row r="54">
      <x:c r="A54" s="32" t="str">
        <x:v>OBS0050</x:v>
      </x:c>
      <x:c r="B54" s="32"/>
      <x:c r="C54" s="34"/>
      <x:c r="D54" s="35"/>
      <x:c r="E54" s="32"/>
      <x:c r="F54" s="32"/>
      <x:c r="G54" s="32"/>
      <x:c r="H54" s="32"/>
      <x:c r="I54" s="32"/>
      <x:c r="J54" s="32"/>
      <x:c r="K54" s="36"/>
      <x:c r="L54" s="36"/>
      <x:c r="M54" s="36"/>
      <x:c r="N54" s="37"/>
      <x:c r="O54" s="37"/>
      <x:c r="P54" s="32"/>
      <x:c r="Q54" s="33" t="str">
        <x:f>IF(OR(B54="",C54="",F54="",I54=""),"",B54&amp;"|"&amp;TEXT(C54,"yyyy-mm-dd")&amp;"|"&amp;F54&amp;"|"&amp;I54)</x:f>
      </x:c>
      <x:c r="R54" s="38" t="str">
        <x:f>IF(OR(K54="",L54="",M54=""),"",SUM(K54:M54))</x:f>
      </x:c>
    </x:row>
    <x:row r="55">
      <x:c r="A55" s="32" t="str">
        <x:v>OBS0051</x:v>
      </x:c>
      <x:c r="B55" s="32"/>
      <x:c r="C55" s="34"/>
      <x:c r="D55" s="35"/>
      <x:c r="E55" s="32"/>
      <x:c r="F55" s="32"/>
      <x:c r="G55" s="32"/>
      <x:c r="H55" s="32"/>
      <x:c r="I55" s="32"/>
      <x:c r="J55" s="32"/>
      <x:c r="K55" s="36"/>
      <x:c r="L55" s="36"/>
      <x:c r="M55" s="36"/>
      <x:c r="N55" s="37"/>
      <x:c r="O55" s="37"/>
      <x:c r="P55" s="32"/>
      <x:c r="Q55" s="33" t="str">
        <x:f>IF(OR(B55="",C55="",F55="",I55=""),"",B55&amp;"|"&amp;TEXT(C55,"yyyy-mm-dd")&amp;"|"&amp;F55&amp;"|"&amp;I55)</x:f>
      </x:c>
      <x:c r="R55" s="38" t="str">
        <x:f>IF(OR(K55="",L55="",M55=""),"",SUM(K55:M55))</x:f>
      </x:c>
    </x:row>
    <x:row r="56">
      <x:c r="A56" s="32" t="str">
        <x:v>OBS0052</x:v>
      </x:c>
      <x:c r="B56" s="32"/>
      <x:c r="C56" s="34"/>
      <x:c r="D56" s="35"/>
      <x:c r="E56" s="32"/>
      <x:c r="F56" s="32"/>
      <x:c r="G56" s="32"/>
      <x:c r="H56" s="32"/>
      <x:c r="I56" s="32"/>
      <x:c r="J56" s="32"/>
      <x:c r="K56" s="36"/>
      <x:c r="L56" s="36"/>
      <x:c r="M56" s="36"/>
      <x:c r="N56" s="37"/>
      <x:c r="O56" s="37"/>
      <x:c r="P56" s="32"/>
      <x:c r="Q56" s="33" t="str">
        <x:f>IF(OR(B56="",C56="",F56="",I56=""),"",B56&amp;"|"&amp;TEXT(C56,"yyyy-mm-dd")&amp;"|"&amp;F56&amp;"|"&amp;I56)</x:f>
      </x:c>
      <x:c r="R56" s="38" t="str">
        <x:f>IF(OR(K56="",L56="",M56=""),"",SUM(K56:M56))</x:f>
      </x:c>
    </x:row>
    <x:row r="57">
      <x:c r="A57" s="32" t="str">
        <x:v>OBS0053</x:v>
      </x:c>
      <x:c r="B57" s="32"/>
      <x:c r="C57" s="34"/>
      <x:c r="D57" s="35"/>
      <x:c r="E57" s="32"/>
      <x:c r="F57" s="32"/>
      <x:c r="G57" s="32"/>
      <x:c r="H57" s="32"/>
      <x:c r="I57" s="32"/>
      <x:c r="J57" s="32"/>
      <x:c r="K57" s="36"/>
      <x:c r="L57" s="36"/>
      <x:c r="M57" s="36"/>
      <x:c r="N57" s="37"/>
      <x:c r="O57" s="37"/>
      <x:c r="P57" s="32"/>
      <x:c r="Q57" s="33" t="str">
        <x:f>IF(OR(B57="",C57="",F57="",I57=""),"",B57&amp;"|"&amp;TEXT(C57,"yyyy-mm-dd")&amp;"|"&amp;F57&amp;"|"&amp;I57)</x:f>
      </x:c>
      <x:c r="R57" s="38" t="str">
        <x:f>IF(OR(K57="",L57="",M57=""),"",SUM(K57:M57))</x:f>
      </x:c>
    </x:row>
    <x:row r="58">
      <x:c r="A58" s="32" t="str">
        <x:v>OBS0054</x:v>
      </x:c>
      <x:c r="B58" s="32"/>
      <x:c r="C58" s="34"/>
      <x:c r="D58" s="35"/>
      <x:c r="E58" s="32"/>
      <x:c r="F58" s="32"/>
      <x:c r="G58" s="32"/>
      <x:c r="H58" s="32"/>
      <x:c r="I58" s="32"/>
      <x:c r="J58" s="32"/>
      <x:c r="K58" s="36"/>
      <x:c r="L58" s="36"/>
      <x:c r="M58" s="36"/>
      <x:c r="N58" s="37"/>
      <x:c r="O58" s="37"/>
      <x:c r="P58" s="32"/>
      <x:c r="Q58" s="33" t="str">
        <x:f>IF(OR(B58="",C58="",F58="",I58=""),"",B58&amp;"|"&amp;TEXT(C58,"yyyy-mm-dd")&amp;"|"&amp;F58&amp;"|"&amp;I58)</x:f>
      </x:c>
      <x:c r="R58" s="38" t="str">
        <x:f>IF(OR(K58="",L58="",M58=""),"",SUM(K58:M58))</x:f>
      </x:c>
    </x:row>
    <x:row r="59">
      <x:c r="A59" s="32" t="str">
        <x:v>OBS0055</x:v>
      </x:c>
      <x:c r="B59" s="32"/>
      <x:c r="C59" s="34"/>
      <x:c r="D59" s="35"/>
      <x:c r="E59" s="32"/>
      <x:c r="F59" s="32"/>
      <x:c r="G59" s="32"/>
      <x:c r="H59" s="32"/>
      <x:c r="I59" s="32"/>
      <x:c r="J59" s="32"/>
      <x:c r="K59" s="36"/>
      <x:c r="L59" s="36"/>
      <x:c r="M59" s="36"/>
      <x:c r="N59" s="37"/>
      <x:c r="O59" s="37"/>
      <x:c r="P59" s="32"/>
      <x:c r="Q59" s="33" t="str">
        <x:f>IF(OR(B59="",C59="",F59="",I59=""),"",B59&amp;"|"&amp;TEXT(C59,"yyyy-mm-dd")&amp;"|"&amp;F59&amp;"|"&amp;I59)</x:f>
      </x:c>
      <x:c r="R59" s="38" t="str">
        <x:f>IF(OR(K59="",L59="",M59=""),"",SUM(K59:M59))</x:f>
      </x:c>
    </x:row>
    <x:row r="60">
      <x:c r="A60" s="32" t="str">
        <x:v>OBS0056</x:v>
      </x:c>
      <x:c r="B60" s="32"/>
      <x:c r="C60" s="34"/>
      <x:c r="D60" s="35"/>
      <x:c r="E60" s="32"/>
      <x:c r="F60" s="32"/>
      <x:c r="G60" s="32"/>
      <x:c r="H60" s="32"/>
      <x:c r="I60" s="32"/>
      <x:c r="J60" s="32"/>
      <x:c r="K60" s="36"/>
      <x:c r="L60" s="36"/>
      <x:c r="M60" s="36"/>
      <x:c r="N60" s="37"/>
      <x:c r="O60" s="37"/>
      <x:c r="P60" s="32"/>
      <x:c r="Q60" s="33" t="str">
        <x:f>IF(OR(B60="",C60="",F60="",I60=""),"",B60&amp;"|"&amp;TEXT(C60,"yyyy-mm-dd")&amp;"|"&amp;F60&amp;"|"&amp;I60)</x:f>
      </x:c>
      <x:c r="R60" s="38" t="str">
        <x:f>IF(OR(K60="",L60="",M60=""),"",SUM(K60:M60))</x:f>
      </x:c>
    </x:row>
    <x:row r="61">
      <x:c r="A61" s="32" t="str">
        <x:v>OBS0057</x:v>
      </x:c>
      <x:c r="B61" s="32"/>
      <x:c r="C61" s="34"/>
      <x:c r="D61" s="35"/>
      <x:c r="E61" s="32"/>
      <x:c r="F61" s="32"/>
      <x:c r="G61" s="32"/>
      <x:c r="H61" s="32"/>
      <x:c r="I61" s="32"/>
      <x:c r="J61" s="32"/>
      <x:c r="K61" s="36"/>
      <x:c r="L61" s="36"/>
      <x:c r="M61" s="36"/>
      <x:c r="N61" s="37"/>
      <x:c r="O61" s="37"/>
      <x:c r="P61" s="32"/>
      <x:c r="Q61" s="33" t="str">
        <x:f>IF(OR(B61="",C61="",F61="",I61=""),"",B61&amp;"|"&amp;TEXT(C61,"yyyy-mm-dd")&amp;"|"&amp;F61&amp;"|"&amp;I61)</x:f>
      </x:c>
      <x:c r="R61" s="38" t="str">
        <x:f>IF(OR(K61="",L61="",M61=""),"",SUM(K61:M61))</x:f>
      </x:c>
    </x:row>
    <x:row r="62">
      <x:c r="A62" s="32" t="str">
        <x:v>OBS0058</x:v>
      </x:c>
      <x:c r="B62" s="32"/>
      <x:c r="C62" s="34"/>
      <x:c r="D62" s="35"/>
      <x:c r="E62" s="32"/>
      <x:c r="F62" s="32"/>
      <x:c r="G62" s="32"/>
      <x:c r="H62" s="32"/>
      <x:c r="I62" s="32"/>
      <x:c r="J62" s="32"/>
      <x:c r="K62" s="36"/>
      <x:c r="L62" s="36"/>
      <x:c r="M62" s="36"/>
      <x:c r="N62" s="37"/>
      <x:c r="O62" s="37"/>
      <x:c r="P62" s="32"/>
      <x:c r="Q62" s="33" t="str">
        <x:f>IF(OR(B62="",C62="",F62="",I62=""),"",B62&amp;"|"&amp;TEXT(C62,"yyyy-mm-dd")&amp;"|"&amp;F62&amp;"|"&amp;I62)</x:f>
      </x:c>
      <x:c r="R62" s="38" t="str">
        <x:f>IF(OR(K62="",L62="",M62=""),"",SUM(K62:M62))</x:f>
      </x:c>
    </x:row>
    <x:row r="63">
      <x:c r="A63" s="32" t="str">
        <x:v>OBS0059</x:v>
      </x:c>
      <x:c r="B63" s="32"/>
      <x:c r="C63" s="34"/>
      <x:c r="D63" s="35"/>
      <x:c r="E63" s="32"/>
      <x:c r="F63" s="32"/>
      <x:c r="G63" s="32"/>
      <x:c r="H63" s="32"/>
      <x:c r="I63" s="32"/>
      <x:c r="J63" s="32"/>
      <x:c r="K63" s="36"/>
      <x:c r="L63" s="36"/>
      <x:c r="M63" s="36"/>
      <x:c r="N63" s="37"/>
      <x:c r="O63" s="37"/>
      <x:c r="P63" s="32"/>
      <x:c r="Q63" s="33" t="str">
        <x:f>IF(OR(B63="",C63="",F63="",I63=""),"",B63&amp;"|"&amp;TEXT(C63,"yyyy-mm-dd")&amp;"|"&amp;F63&amp;"|"&amp;I63)</x:f>
      </x:c>
      <x:c r="R63" s="38" t="str">
        <x:f>IF(OR(K63="",L63="",M63=""),"",SUM(K63:M63))</x:f>
      </x:c>
    </x:row>
    <x:row r="64">
      <x:c r="A64" s="32" t="str">
        <x:v>OBS0060</x:v>
      </x:c>
      <x:c r="B64" s="32"/>
      <x:c r="C64" s="34"/>
      <x:c r="D64" s="35"/>
      <x:c r="E64" s="32"/>
      <x:c r="F64" s="32"/>
      <x:c r="G64" s="32"/>
      <x:c r="H64" s="32"/>
      <x:c r="I64" s="32"/>
      <x:c r="J64" s="32"/>
      <x:c r="K64" s="36"/>
      <x:c r="L64" s="36"/>
      <x:c r="M64" s="36"/>
      <x:c r="N64" s="37"/>
      <x:c r="O64" s="37"/>
      <x:c r="P64" s="32"/>
      <x:c r="Q64" s="33" t="str">
        <x:f>IF(OR(B64="",C64="",F64="",I64=""),"",B64&amp;"|"&amp;TEXT(C64,"yyyy-mm-dd")&amp;"|"&amp;F64&amp;"|"&amp;I64)</x:f>
      </x:c>
      <x:c r="R64" s="38" t="str">
        <x:f>IF(OR(K64="",L64="",M64=""),"",SUM(K64:M64))</x:f>
      </x:c>
    </x:row>
    <x:row r="65">
      <x:c r="A65" s="32" t="str">
        <x:v>OBS0061</x:v>
      </x:c>
      <x:c r="B65" s="32"/>
      <x:c r="C65" s="34"/>
      <x:c r="D65" s="35"/>
      <x:c r="E65" s="32"/>
      <x:c r="F65" s="32"/>
      <x:c r="G65" s="32"/>
      <x:c r="H65" s="32"/>
      <x:c r="I65" s="32"/>
      <x:c r="J65" s="32"/>
      <x:c r="K65" s="36"/>
      <x:c r="L65" s="36"/>
      <x:c r="M65" s="36"/>
      <x:c r="N65" s="37"/>
      <x:c r="O65" s="37"/>
      <x:c r="P65" s="32"/>
      <x:c r="Q65" s="33" t="str">
        <x:f>IF(OR(B65="",C65="",F65="",I65=""),"",B65&amp;"|"&amp;TEXT(C65,"yyyy-mm-dd")&amp;"|"&amp;F65&amp;"|"&amp;I65)</x:f>
      </x:c>
      <x:c r="R65" s="38" t="str">
        <x:f>IF(OR(K65="",L65="",M65=""),"",SUM(K65:M65))</x:f>
      </x:c>
    </x:row>
    <x:row r="66">
      <x:c r="A66" s="32" t="str">
        <x:v>OBS0062</x:v>
      </x:c>
      <x:c r="B66" s="32"/>
      <x:c r="C66" s="34"/>
      <x:c r="D66" s="35"/>
      <x:c r="E66" s="32"/>
      <x:c r="F66" s="32"/>
      <x:c r="G66" s="32"/>
      <x:c r="H66" s="32"/>
      <x:c r="I66" s="32"/>
      <x:c r="J66" s="32"/>
      <x:c r="K66" s="36"/>
      <x:c r="L66" s="36"/>
      <x:c r="M66" s="36"/>
      <x:c r="N66" s="37"/>
      <x:c r="O66" s="37"/>
      <x:c r="P66" s="32"/>
      <x:c r="Q66" s="33" t="str">
        <x:f>IF(OR(B66="",C66="",F66="",I66=""),"",B66&amp;"|"&amp;TEXT(C66,"yyyy-mm-dd")&amp;"|"&amp;F66&amp;"|"&amp;I66)</x:f>
      </x:c>
      <x:c r="R66" s="38" t="str">
        <x:f>IF(OR(K66="",L66="",M66=""),"",SUM(K66:M66))</x:f>
      </x:c>
    </x:row>
    <x:row r="67">
      <x:c r="A67" s="32" t="str">
        <x:v>OBS0063</x:v>
      </x:c>
      <x:c r="B67" s="32"/>
      <x:c r="C67" s="34"/>
      <x:c r="D67" s="35"/>
      <x:c r="E67" s="32"/>
      <x:c r="F67" s="32"/>
      <x:c r="G67" s="32"/>
      <x:c r="H67" s="32"/>
      <x:c r="I67" s="32"/>
      <x:c r="J67" s="32"/>
      <x:c r="K67" s="36"/>
      <x:c r="L67" s="36"/>
      <x:c r="M67" s="36"/>
      <x:c r="N67" s="37"/>
      <x:c r="O67" s="37"/>
      <x:c r="P67" s="32"/>
      <x:c r="Q67" s="33" t="str">
        <x:f>IF(OR(B67="",C67="",F67="",I67=""),"",B67&amp;"|"&amp;TEXT(C67,"yyyy-mm-dd")&amp;"|"&amp;F67&amp;"|"&amp;I67)</x:f>
      </x:c>
      <x:c r="R67" s="38" t="str">
        <x:f>IF(OR(K67="",L67="",M67=""),"",SUM(K67:M67))</x:f>
      </x:c>
    </x:row>
    <x:row r="68">
      <x:c r="A68" s="32" t="str">
        <x:v>OBS0064</x:v>
      </x:c>
      <x:c r="B68" s="32"/>
      <x:c r="C68" s="34"/>
      <x:c r="D68" s="35"/>
      <x:c r="E68" s="32"/>
      <x:c r="F68" s="32"/>
      <x:c r="G68" s="32"/>
      <x:c r="H68" s="32"/>
      <x:c r="I68" s="32"/>
      <x:c r="J68" s="32"/>
      <x:c r="K68" s="36"/>
      <x:c r="L68" s="36"/>
      <x:c r="M68" s="36"/>
      <x:c r="N68" s="37"/>
      <x:c r="O68" s="37"/>
      <x:c r="P68" s="32"/>
      <x:c r="Q68" s="33" t="str">
        <x:f>IF(OR(B68="",C68="",F68="",I68=""),"",B68&amp;"|"&amp;TEXT(C68,"yyyy-mm-dd")&amp;"|"&amp;F68&amp;"|"&amp;I68)</x:f>
      </x:c>
      <x:c r="R68" s="38" t="str">
        <x:f>IF(OR(K68="",L68="",M68=""),"",SUM(K68:M68))</x:f>
      </x:c>
    </x:row>
    <x:row r="69">
      <x:c r="A69" s="32" t="str">
        <x:v>OBS0065</x:v>
      </x:c>
      <x:c r="B69" s="32"/>
      <x:c r="C69" s="34"/>
      <x:c r="D69" s="35"/>
      <x:c r="E69" s="32"/>
      <x:c r="F69" s="32"/>
      <x:c r="G69" s="32"/>
      <x:c r="H69" s="32"/>
      <x:c r="I69" s="32"/>
      <x:c r="J69" s="32"/>
      <x:c r="K69" s="36"/>
      <x:c r="L69" s="36"/>
      <x:c r="M69" s="36"/>
      <x:c r="N69" s="37"/>
      <x:c r="O69" s="37"/>
      <x:c r="P69" s="32"/>
      <x:c r="Q69" s="33" t="str">
        <x:f>IF(OR(B69="",C69="",F69="",I69=""),"",B69&amp;"|"&amp;TEXT(C69,"yyyy-mm-dd")&amp;"|"&amp;F69&amp;"|"&amp;I69)</x:f>
      </x:c>
      <x:c r="R69" s="38" t="str">
        <x:f>IF(OR(K69="",L69="",M69=""),"",SUM(K69:M69))</x:f>
      </x:c>
    </x:row>
    <x:row r="70">
      <x:c r="A70" s="32" t="str">
        <x:v>OBS0066</x:v>
      </x:c>
      <x:c r="B70" s="32"/>
      <x:c r="C70" s="34"/>
      <x:c r="D70" s="35"/>
      <x:c r="E70" s="32"/>
      <x:c r="F70" s="32"/>
      <x:c r="G70" s="32"/>
      <x:c r="H70" s="32"/>
      <x:c r="I70" s="32"/>
      <x:c r="J70" s="32"/>
      <x:c r="K70" s="36"/>
      <x:c r="L70" s="36"/>
      <x:c r="M70" s="36"/>
      <x:c r="N70" s="37"/>
      <x:c r="O70" s="37"/>
      <x:c r="P70" s="32"/>
      <x:c r="Q70" s="33" t="str">
        <x:f>IF(OR(B70="",C70="",F70="",I70=""),"",B70&amp;"|"&amp;TEXT(C70,"yyyy-mm-dd")&amp;"|"&amp;F70&amp;"|"&amp;I70)</x:f>
      </x:c>
      <x:c r="R70" s="38" t="str">
        <x:f>IF(OR(K70="",L70="",M70=""),"",SUM(K70:M70))</x:f>
      </x:c>
    </x:row>
    <x:row r="71">
      <x:c r="A71" s="32" t="str">
        <x:v>OBS0067</x:v>
      </x:c>
      <x:c r="B71" s="32"/>
      <x:c r="C71" s="34"/>
      <x:c r="D71" s="35"/>
      <x:c r="E71" s="32"/>
      <x:c r="F71" s="32"/>
      <x:c r="G71" s="32"/>
      <x:c r="H71" s="32"/>
      <x:c r="I71" s="32"/>
      <x:c r="J71" s="32"/>
      <x:c r="K71" s="36"/>
      <x:c r="L71" s="36"/>
      <x:c r="M71" s="36"/>
      <x:c r="N71" s="37"/>
      <x:c r="O71" s="37"/>
      <x:c r="P71" s="32"/>
      <x:c r="Q71" s="33" t="str">
        <x:f>IF(OR(B71="",C71="",F71="",I71=""),"",B71&amp;"|"&amp;TEXT(C71,"yyyy-mm-dd")&amp;"|"&amp;F71&amp;"|"&amp;I71)</x:f>
      </x:c>
      <x:c r="R71" s="38" t="str">
        <x:f>IF(OR(K71="",L71="",M71=""),"",SUM(K71:M71))</x:f>
      </x:c>
    </x:row>
    <x:row r="72">
      <x:c r="A72" s="32" t="str">
        <x:v>OBS0068</x:v>
      </x:c>
      <x:c r="B72" s="32"/>
      <x:c r="C72" s="34"/>
      <x:c r="D72" s="35"/>
      <x:c r="E72" s="32"/>
      <x:c r="F72" s="32"/>
      <x:c r="G72" s="32"/>
      <x:c r="H72" s="32"/>
      <x:c r="I72" s="32"/>
      <x:c r="J72" s="32"/>
      <x:c r="K72" s="36"/>
      <x:c r="L72" s="36"/>
      <x:c r="M72" s="36"/>
      <x:c r="N72" s="37"/>
      <x:c r="O72" s="37"/>
      <x:c r="P72" s="32"/>
      <x:c r="Q72" s="33" t="str">
        <x:f>IF(OR(B72="",C72="",F72="",I72=""),"",B72&amp;"|"&amp;TEXT(C72,"yyyy-mm-dd")&amp;"|"&amp;F72&amp;"|"&amp;I72)</x:f>
      </x:c>
      <x:c r="R72" s="38" t="str">
        <x:f>IF(OR(K72="",L72="",M72=""),"",SUM(K72:M72))</x:f>
      </x:c>
    </x:row>
    <x:row r="73">
      <x:c r="A73" s="32" t="str">
        <x:v>OBS0069</x:v>
      </x:c>
      <x:c r="B73" s="32"/>
      <x:c r="C73" s="34"/>
      <x:c r="D73" s="35"/>
      <x:c r="E73" s="32"/>
      <x:c r="F73" s="32"/>
      <x:c r="G73" s="32"/>
      <x:c r="H73" s="32"/>
      <x:c r="I73" s="32"/>
      <x:c r="J73" s="32"/>
      <x:c r="K73" s="36"/>
      <x:c r="L73" s="36"/>
      <x:c r="M73" s="36"/>
      <x:c r="N73" s="37"/>
      <x:c r="O73" s="37"/>
      <x:c r="P73" s="32"/>
      <x:c r="Q73" s="33" t="str">
        <x:f>IF(OR(B73="",C73="",F73="",I73=""),"",B73&amp;"|"&amp;TEXT(C73,"yyyy-mm-dd")&amp;"|"&amp;F73&amp;"|"&amp;I73)</x:f>
      </x:c>
      <x:c r="R73" s="38" t="str">
        <x:f>IF(OR(K73="",L73="",M73=""),"",SUM(K73:M73))</x:f>
      </x:c>
    </x:row>
    <x:row r="74">
      <x:c r="A74" s="32" t="str">
        <x:v>OBS0070</x:v>
      </x:c>
      <x:c r="B74" s="32"/>
      <x:c r="C74" s="34"/>
      <x:c r="D74" s="35"/>
      <x:c r="E74" s="32"/>
      <x:c r="F74" s="32"/>
      <x:c r="G74" s="32"/>
      <x:c r="H74" s="32"/>
      <x:c r="I74" s="32"/>
      <x:c r="J74" s="32"/>
      <x:c r="K74" s="36"/>
      <x:c r="L74" s="36"/>
      <x:c r="M74" s="36"/>
      <x:c r="N74" s="37"/>
      <x:c r="O74" s="37"/>
      <x:c r="P74" s="32"/>
      <x:c r="Q74" s="33" t="str">
        <x:f>IF(OR(B74="",C74="",F74="",I74=""),"",B74&amp;"|"&amp;TEXT(C74,"yyyy-mm-dd")&amp;"|"&amp;F74&amp;"|"&amp;I74)</x:f>
      </x:c>
      <x:c r="R74" s="38" t="str">
        <x:f>IF(OR(K74="",L74="",M74=""),"",SUM(K74:M74))</x:f>
      </x:c>
    </x:row>
    <x:row r="75">
      <x:c r="A75" s="32" t="str">
        <x:v>OBS0071</x:v>
      </x:c>
      <x:c r="B75" s="32"/>
      <x:c r="C75" s="34"/>
      <x:c r="D75" s="35"/>
      <x:c r="E75" s="32"/>
      <x:c r="F75" s="32"/>
      <x:c r="G75" s="32"/>
      <x:c r="H75" s="32"/>
      <x:c r="I75" s="32"/>
      <x:c r="J75" s="32"/>
      <x:c r="K75" s="36"/>
      <x:c r="L75" s="36"/>
      <x:c r="M75" s="36"/>
      <x:c r="N75" s="37"/>
      <x:c r="O75" s="37"/>
      <x:c r="P75" s="32"/>
      <x:c r="Q75" s="33" t="str">
        <x:f>IF(OR(B75="",C75="",F75="",I75=""),"",B75&amp;"|"&amp;TEXT(C75,"yyyy-mm-dd")&amp;"|"&amp;F75&amp;"|"&amp;I75)</x:f>
      </x:c>
      <x:c r="R75" s="38" t="str">
        <x:f>IF(OR(K75="",L75="",M75=""),"",SUM(K75:M75))</x:f>
      </x:c>
    </x:row>
    <x:row r="76">
      <x:c r="A76" s="32" t="str">
        <x:v>OBS0072</x:v>
      </x:c>
      <x:c r="B76" s="32"/>
      <x:c r="C76" s="34"/>
      <x:c r="D76" s="35"/>
      <x:c r="E76" s="32"/>
      <x:c r="F76" s="32"/>
      <x:c r="G76" s="32"/>
      <x:c r="H76" s="32"/>
      <x:c r="I76" s="32"/>
      <x:c r="J76" s="32"/>
      <x:c r="K76" s="36"/>
      <x:c r="L76" s="36"/>
      <x:c r="M76" s="36"/>
      <x:c r="N76" s="37"/>
      <x:c r="O76" s="37"/>
      <x:c r="P76" s="32"/>
      <x:c r="Q76" s="33" t="str">
        <x:f>IF(OR(B76="",C76="",F76="",I76=""),"",B76&amp;"|"&amp;TEXT(C76,"yyyy-mm-dd")&amp;"|"&amp;F76&amp;"|"&amp;I76)</x:f>
      </x:c>
      <x:c r="R76" s="38" t="str">
        <x:f>IF(OR(K76="",L76="",M76=""),"",SUM(K76:M76))</x:f>
      </x:c>
    </x:row>
    <x:row r="77">
      <x:c r="A77" s="32" t="str">
        <x:v>OBS0073</x:v>
      </x:c>
      <x:c r="B77" s="32"/>
      <x:c r="C77" s="34"/>
      <x:c r="D77" s="35"/>
      <x:c r="E77" s="32"/>
      <x:c r="F77" s="32"/>
      <x:c r="G77" s="32"/>
      <x:c r="H77" s="32"/>
      <x:c r="I77" s="32"/>
      <x:c r="J77" s="32"/>
      <x:c r="K77" s="36"/>
      <x:c r="L77" s="36"/>
      <x:c r="M77" s="36"/>
      <x:c r="N77" s="37"/>
      <x:c r="O77" s="37"/>
      <x:c r="P77" s="32"/>
      <x:c r="Q77" s="33" t="str">
        <x:f>IF(OR(B77="",C77="",F77="",I77=""),"",B77&amp;"|"&amp;TEXT(C77,"yyyy-mm-dd")&amp;"|"&amp;F77&amp;"|"&amp;I77)</x:f>
      </x:c>
      <x:c r="R77" s="38" t="str">
        <x:f>IF(OR(K77="",L77="",M77=""),"",SUM(K77:M77))</x:f>
      </x:c>
    </x:row>
    <x:row r="78">
      <x:c r="A78" s="32" t="str">
        <x:v>OBS0074</x:v>
      </x:c>
      <x:c r="B78" s="32"/>
      <x:c r="C78" s="34"/>
      <x:c r="D78" s="35"/>
      <x:c r="E78" s="32"/>
      <x:c r="F78" s="32"/>
      <x:c r="G78" s="32"/>
      <x:c r="H78" s="32"/>
      <x:c r="I78" s="32"/>
      <x:c r="J78" s="32"/>
      <x:c r="K78" s="36"/>
      <x:c r="L78" s="36"/>
      <x:c r="M78" s="36"/>
      <x:c r="N78" s="37"/>
      <x:c r="O78" s="37"/>
      <x:c r="P78" s="32"/>
      <x:c r="Q78" s="33" t="str">
        <x:f>IF(OR(B78="",C78="",F78="",I78=""),"",B78&amp;"|"&amp;TEXT(C78,"yyyy-mm-dd")&amp;"|"&amp;F78&amp;"|"&amp;I78)</x:f>
      </x:c>
      <x:c r="R78" s="38" t="str">
        <x:f>IF(OR(K78="",L78="",M78=""),"",SUM(K78:M78))</x:f>
      </x:c>
    </x:row>
    <x:row r="79">
      <x:c r="A79" s="32" t="str">
        <x:v>OBS0075</x:v>
      </x:c>
      <x:c r="B79" s="32"/>
      <x:c r="C79" s="34"/>
      <x:c r="D79" s="35"/>
      <x:c r="E79" s="32"/>
      <x:c r="F79" s="32"/>
      <x:c r="G79" s="32"/>
      <x:c r="H79" s="32"/>
      <x:c r="I79" s="32"/>
      <x:c r="J79" s="32"/>
      <x:c r="K79" s="36"/>
      <x:c r="L79" s="36"/>
      <x:c r="M79" s="36"/>
      <x:c r="N79" s="37"/>
      <x:c r="O79" s="37"/>
      <x:c r="P79" s="32"/>
      <x:c r="Q79" s="33" t="str">
        <x:f>IF(OR(B79="",C79="",F79="",I79=""),"",B79&amp;"|"&amp;TEXT(C79,"yyyy-mm-dd")&amp;"|"&amp;F79&amp;"|"&amp;I79)</x:f>
      </x:c>
      <x:c r="R79" s="38" t="str">
        <x:f>IF(OR(K79="",L79="",M79=""),"",SUM(K79:M79))</x:f>
      </x:c>
    </x:row>
    <x:row r="80">
      <x:c r="A80" s="32" t="str">
        <x:v>OBS0076</x:v>
      </x:c>
      <x:c r="B80" s="32"/>
      <x:c r="C80" s="34"/>
      <x:c r="D80" s="35"/>
      <x:c r="E80" s="32"/>
      <x:c r="F80" s="32"/>
      <x:c r="G80" s="32"/>
      <x:c r="H80" s="32"/>
      <x:c r="I80" s="32"/>
      <x:c r="J80" s="32"/>
      <x:c r="K80" s="36"/>
      <x:c r="L80" s="36"/>
      <x:c r="M80" s="36"/>
      <x:c r="N80" s="37"/>
      <x:c r="O80" s="37"/>
      <x:c r="P80" s="32"/>
      <x:c r="Q80" s="33" t="str">
        <x:f>IF(OR(B80="",C80="",F80="",I80=""),"",B80&amp;"|"&amp;TEXT(C80,"yyyy-mm-dd")&amp;"|"&amp;F80&amp;"|"&amp;I80)</x:f>
      </x:c>
      <x:c r="R80" s="38" t="str">
        <x:f>IF(OR(K80="",L80="",M80=""),"",SUM(K80:M80))</x:f>
      </x:c>
    </x:row>
    <x:row r="81">
      <x:c r="A81" s="32" t="str">
        <x:v>OBS0077</x:v>
      </x:c>
      <x:c r="B81" s="32"/>
      <x:c r="C81" s="34"/>
      <x:c r="D81" s="35"/>
      <x:c r="E81" s="32"/>
      <x:c r="F81" s="32"/>
      <x:c r="G81" s="32"/>
      <x:c r="H81" s="32"/>
      <x:c r="I81" s="32"/>
      <x:c r="J81" s="32"/>
      <x:c r="K81" s="36"/>
      <x:c r="L81" s="36"/>
      <x:c r="M81" s="36"/>
      <x:c r="N81" s="37"/>
      <x:c r="O81" s="37"/>
      <x:c r="P81" s="32"/>
      <x:c r="Q81" s="33" t="str">
        <x:f>IF(OR(B81="",C81="",F81="",I81=""),"",B81&amp;"|"&amp;TEXT(C81,"yyyy-mm-dd")&amp;"|"&amp;F81&amp;"|"&amp;I81)</x:f>
      </x:c>
      <x:c r="R81" s="38" t="str">
        <x:f>IF(OR(K81="",L81="",M81=""),"",SUM(K81:M81))</x:f>
      </x:c>
    </x:row>
    <x:row r="82">
      <x:c r="A82" s="32" t="str">
        <x:v>OBS0078</x:v>
      </x:c>
      <x:c r="B82" s="32"/>
      <x:c r="C82" s="34"/>
      <x:c r="D82" s="35"/>
      <x:c r="E82" s="32"/>
      <x:c r="F82" s="32"/>
      <x:c r="G82" s="32"/>
      <x:c r="H82" s="32"/>
      <x:c r="I82" s="32"/>
      <x:c r="J82" s="32"/>
      <x:c r="K82" s="36"/>
      <x:c r="L82" s="36"/>
      <x:c r="M82" s="36"/>
      <x:c r="N82" s="37"/>
      <x:c r="O82" s="37"/>
      <x:c r="P82" s="32"/>
      <x:c r="Q82" s="33" t="str">
        <x:f>IF(OR(B82="",C82="",F82="",I82=""),"",B82&amp;"|"&amp;TEXT(C82,"yyyy-mm-dd")&amp;"|"&amp;F82&amp;"|"&amp;I82)</x:f>
      </x:c>
      <x:c r="R82" s="38" t="str">
        <x:f>IF(OR(K82="",L82="",M82=""),"",SUM(K82:M82))</x:f>
      </x:c>
    </x:row>
    <x:row r="83">
      <x:c r="A83" s="32" t="str">
        <x:v>OBS0079</x:v>
      </x:c>
      <x:c r="B83" s="32"/>
      <x:c r="C83" s="34"/>
      <x:c r="D83" s="35"/>
      <x:c r="E83" s="32"/>
      <x:c r="F83" s="32"/>
      <x:c r="G83" s="32"/>
      <x:c r="H83" s="32"/>
      <x:c r="I83" s="32"/>
      <x:c r="J83" s="32"/>
      <x:c r="K83" s="36"/>
      <x:c r="L83" s="36"/>
      <x:c r="M83" s="36"/>
      <x:c r="N83" s="37"/>
      <x:c r="O83" s="37"/>
      <x:c r="P83" s="32"/>
      <x:c r="Q83" s="33" t="str">
        <x:f>IF(OR(B83="",C83="",F83="",I83=""),"",B83&amp;"|"&amp;TEXT(C83,"yyyy-mm-dd")&amp;"|"&amp;F83&amp;"|"&amp;I83)</x:f>
      </x:c>
      <x:c r="R83" s="38" t="str">
        <x:f>IF(OR(K83="",L83="",M83=""),"",SUM(K83:M83))</x:f>
      </x:c>
    </x:row>
    <x:row r="84">
      <x:c r="A84" s="32" t="str">
        <x:v>OBS0080</x:v>
      </x:c>
      <x:c r="B84" s="32"/>
      <x:c r="C84" s="34"/>
      <x:c r="D84" s="35"/>
      <x:c r="E84" s="32"/>
      <x:c r="F84" s="32"/>
      <x:c r="G84" s="32"/>
      <x:c r="H84" s="32"/>
      <x:c r="I84" s="32"/>
      <x:c r="J84" s="32"/>
      <x:c r="K84" s="36"/>
      <x:c r="L84" s="36"/>
      <x:c r="M84" s="36"/>
      <x:c r="N84" s="37"/>
      <x:c r="O84" s="37"/>
      <x:c r="P84" s="32"/>
      <x:c r="Q84" s="33" t="str">
        <x:f>IF(OR(B84="",C84="",F84="",I84=""),"",B84&amp;"|"&amp;TEXT(C84,"yyyy-mm-dd")&amp;"|"&amp;F84&amp;"|"&amp;I84)</x:f>
      </x:c>
      <x:c r="R84" s="38" t="str">
        <x:f>IF(OR(K84="",L84="",M84=""),"",SUM(K84:M84))</x:f>
      </x:c>
    </x:row>
    <x:row r="85">
      <x:c r="A85" s="32" t="str">
        <x:v>OBS0081</x:v>
      </x:c>
      <x:c r="B85" s="32"/>
      <x:c r="C85" s="34"/>
      <x:c r="D85" s="35"/>
      <x:c r="E85" s="32"/>
      <x:c r="F85" s="32"/>
      <x:c r="G85" s="32"/>
      <x:c r="H85" s="32"/>
      <x:c r="I85" s="32"/>
      <x:c r="J85" s="32"/>
      <x:c r="K85" s="36"/>
      <x:c r="L85" s="36"/>
      <x:c r="M85" s="36"/>
      <x:c r="N85" s="37"/>
      <x:c r="O85" s="37"/>
      <x:c r="P85" s="32"/>
      <x:c r="Q85" s="33" t="str">
        <x:f>IF(OR(B85="",C85="",F85="",I85=""),"",B85&amp;"|"&amp;TEXT(C85,"yyyy-mm-dd")&amp;"|"&amp;F85&amp;"|"&amp;I85)</x:f>
      </x:c>
      <x:c r="R85" s="38" t="str">
        <x:f>IF(OR(K85="",L85="",M85=""),"",SUM(K85:M85))</x:f>
      </x:c>
    </x:row>
    <x:row r="86">
      <x:c r="A86" s="32" t="str">
        <x:v>OBS0082</x:v>
      </x:c>
      <x:c r="B86" s="32"/>
      <x:c r="C86" s="34"/>
      <x:c r="D86" s="35"/>
      <x:c r="E86" s="32"/>
      <x:c r="F86" s="32"/>
      <x:c r="G86" s="32"/>
      <x:c r="H86" s="32"/>
      <x:c r="I86" s="32"/>
      <x:c r="J86" s="32"/>
      <x:c r="K86" s="36"/>
      <x:c r="L86" s="36"/>
      <x:c r="M86" s="36"/>
      <x:c r="N86" s="37"/>
      <x:c r="O86" s="37"/>
      <x:c r="P86" s="32"/>
      <x:c r="Q86" s="33" t="str">
        <x:f>IF(OR(B86="",C86="",F86="",I86=""),"",B86&amp;"|"&amp;TEXT(C86,"yyyy-mm-dd")&amp;"|"&amp;F86&amp;"|"&amp;I86)</x:f>
      </x:c>
      <x:c r="R86" s="38" t="str">
        <x:f>IF(OR(K86="",L86="",M86=""),"",SUM(K86:M86))</x:f>
      </x:c>
    </x:row>
    <x:row r="87">
      <x:c r="A87" s="32" t="str">
        <x:v>OBS0083</x:v>
      </x:c>
      <x:c r="B87" s="32"/>
      <x:c r="C87" s="34"/>
      <x:c r="D87" s="35"/>
      <x:c r="E87" s="32"/>
      <x:c r="F87" s="32"/>
      <x:c r="G87" s="32"/>
      <x:c r="H87" s="32"/>
      <x:c r="I87" s="32"/>
      <x:c r="J87" s="32"/>
      <x:c r="K87" s="36"/>
      <x:c r="L87" s="36"/>
      <x:c r="M87" s="36"/>
      <x:c r="N87" s="37"/>
      <x:c r="O87" s="37"/>
      <x:c r="P87" s="32"/>
      <x:c r="Q87" s="33" t="str">
        <x:f>IF(OR(B87="",C87="",F87="",I87=""),"",B87&amp;"|"&amp;TEXT(C87,"yyyy-mm-dd")&amp;"|"&amp;F87&amp;"|"&amp;I87)</x:f>
      </x:c>
      <x:c r="R87" s="38" t="str">
        <x:f>IF(OR(K87="",L87="",M87=""),"",SUM(K87:M87))</x:f>
      </x:c>
    </x:row>
    <x:row r="88">
      <x:c r="A88" s="32" t="str">
        <x:v>OBS0084</x:v>
      </x:c>
      <x:c r="B88" s="32"/>
      <x:c r="C88" s="34"/>
      <x:c r="D88" s="35"/>
      <x:c r="E88" s="32"/>
      <x:c r="F88" s="32"/>
      <x:c r="G88" s="32"/>
      <x:c r="H88" s="32"/>
      <x:c r="I88" s="32"/>
      <x:c r="J88" s="32"/>
      <x:c r="K88" s="36"/>
      <x:c r="L88" s="36"/>
      <x:c r="M88" s="36"/>
      <x:c r="N88" s="37"/>
      <x:c r="O88" s="37"/>
      <x:c r="P88" s="32"/>
      <x:c r="Q88" s="33" t="str">
        <x:f>IF(OR(B88="",C88="",F88="",I88=""),"",B88&amp;"|"&amp;TEXT(C88,"yyyy-mm-dd")&amp;"|"&amp;F88&amp;"|"&amp;I88)</x:f>
      </x:c>
      <x:c r="R88" s="38" t="str">
        <x:f>IF(OR(K88="",L88="",M88=""),"",SUM(K88:M88))</x:f>
      </x:c>
    </x:row>
    <x:row r="89">
      <x:c r="A89" s="32" t="str">
        <x:v>OBS0085</x:v>
      </x:c>
      <x:c r="B89" s="32"/>
      <x:c r="C89" s="34"/>
      <x:c r="D89" s="35"/>
      <x:c r="E89" s="32"/>
      <x:c r="F89" s="32"/>
      <x:c r="G89" s="32"/>
      <x:c r="H89" s="32"/>
      <x:c r="I89" s="32"/>
      <x:c r="J89" s="32"/>
      <x:c r="K89" s="36"/>
      <x:c r="L89" s="36"/>
      <x:c r="M89" s="36"/>
      <x:c r="N89" s="37"/>
      <x:c r="O89" s="37"/>
      <x:c r="P89" s="32"/>
      <x:c r="Q89" s="33" t="str">
        <x:f>IF(OR(B89="",C89="",F89="",I89=""),"",B89&amp;"|"&amp;TEXT(C89,"yyyy-mm-dd")&amp;"|"&amp;F89&amp;"|"&amp;I89)</x:f>
      </x:c>
      <x:c r="R89" s="38" t="str">
        <x:f>IF(OR(K89="",L89="",M89=""),"",SUM(K89:M89))</x:f>
      </x:c>
    </x:row>
    <x:row r="90">
      <x:c r="A90" s="32" t="str">
        <x:v>OBS0086</x:v>
      </x:c>
      <x:c r="B90" s="32"/>
      <x:c r="C90" s="34"/>
      <x:c r="D90" s="35"/>
      <x:c r="E90" s="32"/>
      <x:c r="F90" s="32"/>
      <x:c r="G90" s="32"/>
      <x:c r="H90" s="32"/>
      <x:c r="I90" s="32"/>
      <x:c r="J90" s="32"/>
      <x:c r="K90" s="36"/>
      <x:c r="L90" s="36"/>
      <x:c r="M90" s="36"/>
      <x:c r="N90" s="37"/>
      <x:c r="O90" s="37"/>
      <x:c r="P90" s="32"/>
      <x:c r="Q90" s="33" t="str">
        <x:f>IF(OR(B90="",C90="",F90="",I90=""),"",B90&amp;"|"&amp;TEXT(C90,"yyyy-mm-dd")&amp;"|"&amp;F90&amp;"|"&amp;I90)</x:f>
      </x:c>
      <x:c r="R90" s="38" t="str">
        <x:f>IF(OR(K90="",L90="",M90=""),"",SUM(K90:M90))</x:f>
      </x:c>
    </x:row>
    <x:row r="91">
      <x:c r="A91" s="32" t="str">
        <x:v>OBS0087</x:v>
      </x:c>
      <x:c r="B91" s="32"/>
      <x:c r="C91" s="34"/>
      <x:c r="D91" s="35"/>
      <x:c r="E91" s="32"/>
      <x:c r="F91" s="32"/>
      <x:c r="G91" s="32"/>
      <x:c r="H91" s="32"/>
      <x:c r="I91" s="32"/>
      <x:c r="J91" s="32"/>
      <x:c r="K91" s="36"/>
      <x:c r="L91" s="36"/>
      <x:c r="M91" s="36"/>
      <x:c r="N91" s="37"/>
      <x:c r="O91" s="37"/>
      <x:c r="P91" s="32"/>
      <x:c r="Q91" s="33" t="str">
        <x:f>IF(OR(B91="",C91="",F91="",I91=""),"",B91&amp;"|"&amp;TEXT(C91,"yyyy-mm-dd")&amp;"|"&amp;F91&amp;"|"&amp;I91)</x:f>
      </x:c>
      <x:c r="R91" s="38" t="str">
        <x:f>IF(OR(K91="",L91="",M91=""),"",SUM(K91:M91))</x:f>
      </x:c>
    </x:row>
    <x:row r="92">
      <x:c r="A92" s="32" t="str">
        <x:v>OBS0088</x:v>
      </x:c>
      <x:c r="B92" s="32"/>
      <x:c r="C92" s="34"/>
      <x:c r="D92" s="35"/>
      <x:c r="E92" s="32"/>
      <x:c r="F92" s="32"/>
      <x:c r="G92" s="32"/>
      <x:c r="H92" s="32"/>
      <x:c r="I92" s="32"/>
      <x:c r="J92" s="32"/>
      <x:c r="K92" s="36"/>
      <x:c r="L92" s="36"/>
      <x:c r="M92" s="36"/>
      <x:c r="N92" s="37"/>
      <x:c r="O92" s="37"/>
      <x:c r="P92" s="32"/>
      <x:c r="Q92" s="33" t="str">
        <x:f>IF(OR(B92="",C92="",F92="",I92=""),"",B92&amp;"|"&amp;TEXT(C92,"yyyy-mm-dd")&amp;"|"&amp;F92&amp;"|"&amp;I92)</x:f>
      </x:c>
      <x:c r="R92" s="38" t="str">
        <x:f>IF(OR(K92="",L92="",M92=""),"",SUM(K92:M92))</x:f>
      </x:c>
    </x:row>
    <x:row r="93">
      <x:c r="A93" s="32" t="str">
        <x:v>OBS0089</x:v>
      </x:c>
      <x:c r="B93" s="32"/>
      <x:c r="C93" s="34"/>
      <x:c r="D93" s="35"/>
      <x:c r="E93" s="32"/>
      <x:c r="F93" s="32"/>
      <x:c r="G93" s="32"/>
      <x:c r="H93" s="32"/>
      <x:c r="I93" s="32"/>
      <x:c r="J93" s="32"/>
      <x:c r="K93" s="36"/>
      <x:c r="L93" s="36"/>
      <x:c r="M93" s="36"/>
      <x:c r="N93" s="37"/>
      <x:c r="O93" s="37"/>
      <x:c r="P93" s="32"/>
      <x:c r="Q93" s="33" t="str">
        <x:f>IF(OR(B93="",C93="",F93="",I93=""),"",B93&amp;"|"&amp;TEXT(C93,"yyyy-mm-dd")&amp;"|"&amp;F93&amp;"|"&amp;I93)</x:f>
      </x:c>
      <x:c r="R93" s="38" t="str">
        <x:f>IF(OR(K93="",L93="",M93=""),"",SUM(K93:M93))</x:f>
      </x:c>
    </x:row>
    <x:row r="94">
      <x:c r="A94" s="32" t="str">
        <x:v>OBS0090</x:v>
      </x:c>
      <x:c r="B94" s="32"/>
      <x:c r="C94" s="34"/>
      <x:c r="D94" s="35"/>
      <x:c r="E94" s="32"/>
      <x:c r="F94" s="32"/>
      <x:c r="G94" s="32"/>
      <x:c r="H94" s="32"/>
      <x:c r="I94" s="32"/>
      <x:c r="J94" s="32"/>
      <x:c r="K94" s="36"/>
      <x:c r="L94" s="36"/>
      <x:c r="M94" s="36"/>
      <x:c r="N94" s="37"/>
      <x:c r="O94" s="37"/>
      <x:c r="P94" s="32"/>
      <x:c r="Q94" s="33" t="str">
        <x:f>IF(OR(B94="",C94="",F94="",I94=""),"",B94&amp;"|"&amp;TEXT(C94,"yyyy-mm-dd")&amp;"|"&amp;F94&amp;"|"&amp;I94)</x:f>
      </x:c>
      <x:c r="R94" s="38" t="str">
        <x:f>IF(OR(K94="",L94="",M94=""),"",SUM(K94:M94))</x:f>
      </x:c>
    </x:row>
    <x:row r="95">
      <x:c r="A95" s="32" t="str">
        <x:v>OBS0091</x:v>
      </x:c>
      <x:c r="B95" s="32"/>
      <x:c r="C95" s="34"/>
      <x:c r="D95" s="35"/>
      <x:c r="E95" s="32"/>
      <x:c r="F95" s="32"/>
      <x:c r="G95" s="32"/>
      <x:c r="H95" s="32"/>
      <x:c r="I95" s="32"/>
      <x:c r="J95" s="32"/>
      <x:c r="K95" s="36"/>
      <x:c r="L95" s="36"/>
      <x:c r="M95" s="36"/>
      <x:c r="N95" s="37"/>
      <x:c r="O95" s="37"/>
      <x:c r="P95" s="32"/>
      <x:c r="Q95" s="33" t="str">
        <x:f>IF(OR(B95="",C95="",F95="",I95=""),"",B95&amp;"|"&amp;TEXT(C95,"yyyy-mm-dd")&amp;"|"&amp;F95&amp;"|"&amp;I95)</x:f>
      </x:c>
      <x:c r="R95" s="38" t="str">
        <x:f>IF(OR(K95="",L95="",M95=""),"",SUM(K95:M95))</x:f>
      </x:c>
    </x:row>
    <x:row r="96">
      <x:c r="A96" s="32" t="str">
        <x:v>OBS0092</x:v>
      </x:c>
      <x:c r="B96" s="32"/>
      <x:c r="C96" s="34"/>
      <x:c r="D96" s="35"/>
      <x:c r="E96" s="32"/>
      <x:c r="F96" s="32"/>
      <x:c r="G96" s="32"/>
      <x:c r="H96" s="32"/>
      <x:c r="I96" s="32"/>
      <x:c r="J96" s="32"/>
      <x:c r="K96" s="36"/>
      <x:c r="L96" s="36"/>
      <x:c r="M96" s="36"/>
      <x:c r="N96" s="37"/>
      <x:c r="O96" s="37"/>
      <x:c r="P96" s="32"/>
      <x:c r="Q96" s="33" t="str">
        <x:f>IF(OR(B96="",C96="",F96="",I96=""),"",B96&amp;"|"&amp;TEXT(C96,"yyyy-mm-dd")&amp;"|"&amp;F96&amp;"|"&amp;I96)</x:f>
      </x:c>
      <x:c r="R96" s="38" t="str">
        <x:f>IF(OR(K96="",L96="",M96=""),"",SUM(K96:M96))</x:f>
      </x:c>
    </x:row>
    <x:row r="97">
      <x:c r="A97" s="32" t="str">
        <x:v>OBS0093</x:v>
      </x:c>
      <x:c r="B97" s="32"/>
      <x:c r="C97" s="34"/>
      <x:c r="D97" s="35"/>
      <x:c r="E97" s="32"/>
      <x:c r="F97" s="32"/>
      <x:c r="G97" s="32"/>
      <x:c r="H97" s="32"/>
      <x:c r="I97" s="32"/>
      <x:c r="J97" s="32"/>
      <x:c r="K97" s="36"/>
      <x:c r="L97" s="36"/>
      <x:c r="M97" s="36"/>
      <x:c r="N97" s="37"/>
      <x:c r="O97" s="37"/>
      <x:c r="P97" s="32"/>
      <x:c r="Q97" s="33" t="str">
        <x:f>IF(OR(B97="",C97="",F97="",I97=""),"",B97&amp;"|"&amp;TEXT(C97,"yyyy-mm-dd")&amp;"|"&amp;F97&amp;"|"&amp;I97)</x:f>
      </x:c>
      <x:c r="R97" s="38" t="str">
        <x:f>IF(OR(K97="",L97="",M97=""),"",SUM(K97:M97))</x:f>
      </x:c>
    </x:row>
    <x:row r="98">
      <x:c r="A98" s="32" t="str">
        <x:v>OBS0094</x:v>
      </x:c>
      <x:c r="B98" s="32"/>
      <x:c r="C98" s="34"/>
      <x:c r="D98" s="35"/>
      <x:c r="E98" s="32"/>
      <x:c r="F98" s="32"/>
      <x:c r="G98" s="32"/>
      <x:c r="H98" s="32"/>
      <x:c r="I98" s="32"/>
      <x:c r="J98" s="32"/>
      <x:c r="K98" s="36"/>
      <x:c r="L98" s="36"/>
      <x:c r="M98" s="36"/>
      <x:c r="N98" s="37"/>
      <x:c r="O98" s="37"/>
      <x:c r="P98" s="32"/>
      <x:c r="Q98" s="33" t="str">
        <x:f>IF(OR(B98="",C98="",F98="",I98=""),"",B98&amp;"|"&amp;TEXT(C98,"yyyy-mm-dd")&amp;"|"&amp;F98&amp;"|"&amp;I98)</x:f>
      </x:c>
      <x:c r="R98" s="38" t="str">
        <x:f>IF(OR(K98="",L98="",M98=""),"",SUM(K98:M98))</x:f>
      </x:c>
    </x:row>
    <x:row r="99">
      <x:c r="A99" s="32" t="str">
        <x:v>OBS0095</x:v>
      </x:c>
      <x:c r="B99" s="32"/>
      <x:c r="C99" s="34"/>
      <x:c r="D99" s="35"/>
      <x:c r="E99" s="32"/>
      <x:c r="F99" s="32"/>
      <x:c r="G99" s="32"/>
      <x:c r="H99" s="32"/>
      <x:c r="I99" s="32"/>
      <x:c r="J99" s="32"/>
      <x:c r="K99" s="36"/>
      <x:c r="L99" s="36"/>
      <x:c r="M99" s="36"/>
      <x:c r="N99" s="37"/>
      <x:c r="O99" s="37"/>
      <x:c r="P99" s="32"/>
      <x:c r="Q99" s="33" t="str">
        <x:f>IF(OR(B99="",C99="",F99="",I99=""),"",B99&amp;"|"&amp;TEXT(C99,"yyyy-mm-dd")&amp;"|"&amp;F99&amp;"|"&amp;I99)</x:f>
      </x:c>
      <x:c r="R99" s="38" t="str">
        <x:f>IF(OR(K99="",L99="",M99=""),"",SUM(K99:M99))</x:f>
      </x:c>
    </x:row>
    <x:row r="100">
      <x:c r="A100" s="32" t="str">
        <x:v>OBS0096</x:v>
      </x:c>
      <x:c r="B100" s="32"/>
      <x:c r="C100" s="34"/>
      <x:c r="D100" s="35"/>
      <x:c r="E100" s="32"/>
      <x:c r="F100" s="32"/>
      <x:c r="G100" s="32"/>
      <x:c r="H100" s="32"/>
      <x:c r="I100" s="32"/>
      <x:c r="J100" s="32"/>
      <x:c r="K100" s="36"/>
      <x:c r="L100" s="36"/>
      <x:c r="M100" s="36"/>
      <x:c r="N100" s="37"/>
      <x:c r="O100" s="37"/>
      <x:c r="P100" s="32"/>
      <x:c r="Q100" s="33" t="str">
        <x:f>IF(OR(B100="",C100="",F100="",I100=""),"",B100&amp;"|"&amp;TEXT(C100,"yyyy-mm-dd")&amp;"|"&amp;F100&amp;"|"&amp;I100)</x:f>
      </x:c>
      <x:c r="R100" s="38" t="str">
        <x:f>IF(OR(K100="",L100="",M100=""),"",SUM(K100:M100))</x:f>
      </x:c>
    </x:row>
    <x:row r="101">
      <x:c r="A101" s="32" t="str">
        <x:v>OBS0097</x:v>
      </x:c>
      <x:c r="B101" s="32"/>
      <x:c r="C101" s="34"/>
      <x:c r="D101" s="35"/>
      <x:c r="E101" s="32"/>
      <x:c r="F101" s="32"/>
      <x:c r="G101" s="32"/>
      <x:c r="H101" s="32"/>
      <x:c r="I101" s="32"/>
      <x:c r="J101" s="32"/>
      <x:c r="K101" s="36"/>
      <x:c r="L101" s="36"/>
      <x:c r="M101" s="36"/>
      <x:c r="N101" s="37"/>
      <x:c r="O101" s="37"/>
      <x:c r="P101" s="32"/>
      <x:c r="Q101" s="33" t="str">
        <x:f>IF(OR(B101="",C101="",F101="",I101=""),"",B101&amp;"|"&amp;TEXT(C101,"yyyy-mm-dd")&amp;"|"&amp;F101&amp;"|"&amp;I101)</x:f>
      </x:c>
      <x:c r="R101" s="38" t="str">
        <x:f>IF(OR(K101="",L101="",M101=""),"",SUM(K101:M101))</x:f>
      </x:c>
    </x:row>
    <x:row r="102">
      <x:c r="A102" s="32" t="str">
        <x:v>OBS0098</x:v>
      </x:c>
      <x:c r="B102" s="32"/>
      <x:c r="C102" s="34"/>
      <x:c r="D102" s="35"/>
      <x:c r="E102" s="32"/>
      <x:c r="F102" s="32"/>
      <x:c r="G102" s="32"/>
      <x:c r="H102" s="32"/>
      <x:c r="I102" s="32"/>
      <x:c r="J102" s="32"/>
      <x:c r="K102" s="36"/>
      <x:c r="L102" s="36"/>
      <x:c r="M102" s="36"/>
      <x:c r="N102" s="37"/>
      <x:c r="O102" s="37"/>
      <x:c r="P102" s="32"/>
      <x:c r="Q102" s="33" t="str">
        <x:f>IF(OR(B102="",C102="",F102="",I102=""),"",B102&amp;"|"&amp;TEXT(C102,"yyyy-mm-dd")&amp;"|"&amp;F102&amp;"|"&amp;I102)</x:f>
      </x:c>
      <x:c r="R102" s="38" t="str">
        <x:f>IF(OR(K102="",L102="",M102=""),"",SUM(K102:M102))</x:f>
      </x:c>
    </x:row>
    <x:row r="103">
      <x:c r="A103" s="32" t="str">
        <x:v>OBS0099</x:v>
      </x:c>
      <x:c r="B103" s="32"/>
      <x:c r="C103" s="34"/>
      <x:c r="D103" s="35"/>
      <x:c r="E103" s="32"/>
      <x:c r="F103" s="32"/>
      <x:c r="G103" s="32"/>
      <x:c r="H103" s="32"/>
      <x:c r="I103" s="32"/>
      <x:c r="J103" s="32"/>
      <x:c r="K103" s="36"/>
      <x:c r="L103" s="36"/>
      <x:c r="M103" s="36"/>
      <x:c r="N103" s="37"/>
      <x:c r="O103" s="37"/>
      <x:c r="P103" s="32"/>
      <x:c r="Q103" s="33" t="str">
        <x:f>IF(OR(B103="",C103="",F103="",I103=""),"",B103&amp;"|"&amp;TEXT(C103,"yyyy-mm-dd")&amp;"|"&amp;F103&amp;"|"&amp;I103)</x:f>
      </x:c>
      <x:c r="R103" s="38" t="str">
        <x:f>IF(OR(K103="",L103="",M103=""),"",SUM(K103:M103))</x:f>
      </x:c>
    </x:row>
    <x:row r="104">
      <x:c r="A104" s="32" t="str">
        <x:v>OBS0100</x:v>
      </x:c>
      <x:c r="B104" s="32"/>
      <x:c r="C104" s="34"/>
      <x:c r="D104" s="35"/>
      <x:c r="E104" s="32"/>
      <x:c r="F104" s="32"/>
      <x:c r="G104" s="32"/>
      <x:c r="H104" s="32"/>
      <x:c r="I104" s="32"/>
      <x:c r="J104" s="32"/>
      <x:c r="K104" s="36"/>
      <x:c r="L104" s="36"/>
      <x:c r="M104" s="36"/>
      <x:c r="N104" s="37"/>
      <x:c r="O104" s="37"/>
      <x:c r="P104" s="32"/>
      <x:c r="Q104" s="33" t="str">
        <x:f>IF(OR(B104="",C104="",F104="",I104=""),"",B104&amp;"|"&amp;TEXT(C104,"yyyy-mm-dd")&amp;"|"&amp;F104&amp;"|"&amp;I104)</x:f>
      </x:c>
      <x:c r="R104" s="38" t="str">
        <x:f>IF(OR(K104="",L104="",M104=""),"",SUM(K104:M104))</x:f>
      </x:c>
    </x:row>
    <x:row r="105">
      <x:c r="A105" s="32" t="str">
        <x:v>OBS0101</x:v>
      </x:c>
      <x:c r="B105" s="32"/>
      <x:c r="C105" s="34"/>
      <x:c r="D105" s="35"/>
      <x:c r="E105" s="32"/>
      <x:c r="F105" s="32"/>
      <x:c r="G105" s="32"/>
      <x:c r="H105" s="32"/>
      <x:c r="I105" s="32"/>
      <x:c r="J105" s="32"/>
      <x:c r="K105" s="36"/>
      <x:c r="L105" s="36"/>
      <x:c r="M105" s="36"/>
      <x:c r="N105" s="37"/>
      <x:c r="O105" s="37"/>
      <x:c r="P105" s="32"/>
      <x:c r="Q105" s="33" t="str">
        <x:f>IF(OR(B105="",C105="",F105="",I105=""),"",B105&amp;"|"&amp;TEXT(C105,"yyyy-mm-dd")&amp;"|"&amp;F105&amp;"|"&amp;I105)</x:f>
      </x:c>
      <x:c r="R105" s="38" t="str">
        <x:f>IF(OR(K105="",L105="",M105=""),"",SUM(K105:M105))</x:f>
      </x:c>
    </x:row>
    <x:row r="106">
      <x:c r="A106" s="32" t="str">
        <x:v>OBS0102</x:v>
      </x:c>
      <x:c r="B106" s="32"/>
      <x:c r="C106" s="34"/>
      <x:c r="D106" s="35"/>
      <x:c r="E106" s="32"/>
      <x:c r="F106" s="32"/>
      <x:c r="G106" s="32"/>
      <x:c r="H106" s="32"/>
      <x:c r="I106" s="32"/>
      <x:c r="J106" s="32"/>
      <x:c r="K106" s="36"/>
      <x:c r="L106" s="36"/>
      <x:c r="M106" s="36"/>
      <x:c r="N106" s="37"/>
      <x:c r="O106" s="37"/>
      <x:c r="P106" s="32"/>
      <x:c r="Q106" s="33" t="str">
        <x:f>IF(OR(B106="",C106="",F106="",I106=""),"",B106&amp;"|"&amp;TEXT(C106,"yyyy-mm-dd")&amp;"|"&amp;F106&amp;"|"&amp;I106)</x:f>
      </x:c>
      <x:c r="R106" s="38" t="str">
        <x:f>IF(OR(K106="",L106="",M106=""),"",SUM(K106:M106))</x:f>
      </x:c>
    </x:row>
    <x:row r="107">
      <x:c r="A107" s="32" t="str">
        <x:v>OBS0103</x:v>
      </x:c>
      <x:c r="B107" s="32"/>
      <x:c r="C107" s="34"/>
      <x:c r="D107" s="35"/>
      <x:c r="E107" s="32"/>
      <x:c r="F107" s="32"/>
      <x:c r="G107" s="32"/>
      <x:c r="H107" s="32"/>
      <x:c r="I107" s="32"/>
      <x:c r="J107" s="32"/>
      <x:c r="K107" s="36"/>
      <x:c r="L107" s="36"/>
      <x:c r="M107" s="36"/>
      <x:c r="N107" s="37"/>
      <x:c r="O107" s="37"/>
      <x:c r="P107" s="32"/>
      <x:c r="Q107" s="33" t="str">
        <x:f>IF(OR(B107="",C107="",F107="",I107=""),"",B107&amp;"|"&amp;TEXT(C107,"yyyy-mm-dd")&amp;"|"&amp;F107&amp;"|"&amp;I107)</x:f>
      </x:c>
      <x:c r="R107" s="38" t="str">
        <x:f>IF(OR(K107="",L107="",M107=""),"",SUM(K107:M107))</x:f>
      </x:c>
    </x:row>
    <x:row r="108">
      <x:c r="A108" s="32" t="str">
        <x:v>OBS0104</x:v>
      </x:c>
      <x:c r="B108" s="32"/>
      <x:c r="C108" s="34"/>
      <x:c r="D108" s="35"/>
      <x:c r="E108" s="32"/>
      <x:c r="F108" s="32"/>
      <x:c r="G108" s="32"/>
      <x:c r="H108" s="32"/>
      <x:c r="I108" s="32"/>
      <x:c r="J108" s="32"/>
      <x:c r="K108" s="36"/>
      <x:c r="L108" s="36"/>
      <x:c r="M108" s="36"/>
      <x:c r="N108" s="37"/>
      <x:c r="O108" s="37"/>
      <x:c r="P108" s="32"/>
      <x:c r="Q108" s="33" t="str">
        <x:f>IF(OR(B108="",C108="",F108="",I108=""),"",B108&amp;"|"&amp;TEXT(C108,"yyyy-mm-dd")&amp;"|"&amp;F108&amp;"|"&amp;I108)</x:f>
      </x:c>
      <x:c r="R108" s="38" t="str">
        <x:f>IF(OR(K108="",L108="",M108=""),"",SUM(K108:M108))</x:f>
      </x:c>
    </x:row>
    <x:row r="109">
      <x:c r="A109" s="32" t="str">
        <x:v>OBS0105</x:v>
      </x:c>
      <x:c r="B109" s="32"/>
      <x:c r="C109" s="34"/>
      <x:c r="D109" s="35"/>
      <x:c r="E109" s="32"/>
      <x:c r="F109" s="32"/>
      <x:c r="G109" s="32"/>
      <x:c r="H109" s="32"/>
      <x:c r="I109" s="32"/>
      <x:c r="J109" s="32"/>
      <x:c r="K109" s="36"/>
      <x:c r="L109" s="36"/>
      <x:c r="M109" s="36"/>
      <x:c r="N109" s="37"/>
      <x:c r="O109" s="37"/>
      <x:c r="P109" s="32"/>
      <x:c r="Q109" s="33" t="str">
        <x:f>IF(OR(B109="",C109="",F109="",I109=""),"",B109&amp;"|"&amp;TEXT(C109,"yyyy-mm-dd")&amp;"|"&amp;F109&amp;"|"&amp;I109)</x:f>
      </x:c>
      <x:c r="R109" s="38" t="str">
        <x:f>IF(OR(K109="",L109="",M109=""),"",SUM(K109:M109))</x:f>
      </x:c>
    </x:row>
    <x:row r="110">
      <x:c r="A110" s="32" t="str">
        <x:v>OBS0106</x:v>
      </x:c>
      <x:c r="B110" s="32"/>
      <x:c r="C110" s="34"/>
      <x:c r="D110" s="35"/>
      <x:c r="E110" s="32"/>
      <x:c r="F110" s="32"/>
      <x:c r="G110" s="32"/>
      <x:c r="H110" s="32"/>
      <x:c r="I110" s="32"/>
      <x:c r="J110" s="32"/>
      <x:c r="K110" s="36"/>
      <x:c r="L110" s="36"/>
      <x:c r="M110" s="36"/>
      <x:c r="N110" s="37"/>
      <x:c r="O110" s="37"/>
      <x:c r="P110" s="32"/>
      <x:c r="Q110" s="33" t="str">
        <x:f>IF(OR(B110="",C110="",F110="",I110=""),"",B110&amp;"|"&amp;TEXT(C110,"yyyy-mm-dd")&amp;"|"&amp;F110&amp;"|"&amp;I110)</x:f>
      </x:c>
      <x:c r="R110" s="38" t="str">
        <x:f>IF(OR(K110="",L110="",M110=""),"",SUM(K110:M110))</x:f>
      </x:c>
    </x:row>
    <x:row r="111">
      <x:c r="A111" s="32" t="str">
        <x:v>OBS0107</x:v>
      </x:c>
      <x:c r="B111" s="32"/>
      <x:c r="C111" s="34"/>
      <x:c r="D111" s="35"/>
      <x:c r="E111" s="32"/>
      <x:c r="F111" s="32"/>
      <x:c r="G111" s="32"/>
      <x:c r="H111" s="32"/>
      <x:c r="I111" s="32"/>
      <x:c r="J111" s="32"/>
      <x:c r="K111" s="36"/>
      <x:c r="L111" s="36"/>
      <x:c r="M111" s="36"/>
      <x:c r="N111" s="37"/>
      <x:c r="O111" s="37"/>
      <x:c r="P111" s="32"/>
      <x:c r="Q111" s="33" t="str">
        <x:f>IF(OR(B111="",C111="",F111="",I111=""),"",B111&amp;"|"&amp;TEXT(C111,"yyyy-mm-dd")&amp;"|"&amp;F111&amp;"|"&amp;I111)</x:f>
      </x:c>
      <x:c r="R111" s="38" t="str">
        <x:f>IF(OR(K111="",L111="",M111=""),"",SUM(K111:M111))</x:f>
      </x:c>
    </x:row>
    <x:row r="112">
      <x:c r="A112" s="32" t="str">
        <x:v>OBS0108</x:v>
      </x:c>
      <x:c r="B112" s="32"/>
      <x:c r="C112" s="34"/>
      <x:c r="D112" s="35"/>
      <x:c r="E112" s="32"/>
      <x:c r="F112" s="32"/>
      <x:c r="G112" s="32"/>
      <x:c r="H112" s="32"/>
      <x:c r="I112" s="32"/>
      <x:c r="J112" s="32"/>
      <x:c r="K112" s="36"/>
      <x:c r="L112" s="36"/>
      <x:c r="M112" s="36"/>
      <x:c r="N112" s="37"/>
      <x:c r="O112" s="37"/>
      <x:c r="P112" s="32"/>
      <x:c r="Q112" s="33" t="str">
        <x:f>IF(OR(B112="",C112="",F112="",I112=""),"",B112&amp;"|"&amp;TEXT(C112,"yyyy-mm-dd")&amp;"|"&amp;F112&amp;"|"&amp;I112)</x:f>
      </x:c>
      <x:c r="R112" s="38" t="str">
        <x:f>IF(OR(K112="",L112="",M112=""),"",SUM(K112:M112))</x:f>
      </x:c>
    </x:row>
    <x:row r="113">
      <x:c r="A113" s="32" t="str">
        <x:v>OBS0109</x:v>
      </x:c>
      <x:c r="B113" s="32"/>
      <x:c r="C113" s="34"/>
      <x:c r="D113" s="35"/>
      <x:c r="E113" s="32"/>
      <x:c r="F113" s="32"/>
      <x:c r="G113" s="32"/>
      <x:c r="H113" s="32"/>
      <x:c r="I113" s="32"/>
      <x:c r="J113" s="32"/>
      <x:c r="K113" s="36"/>
      <x:c r="L113" s="36"/>
      <x:c r="M113" s="36"/>
      <x:c r="N113" s="37"/>
      <x:c r="O113" s="37"/>
      <x:c r="P113" s="32"/>
      <x:c r="Q113" s="33" t="str">
        <x:f>IF(OR(B113="",C113="",F113="",I113=""),"",B113&amp;"|"&amp;TEXT(C113,"yyyy-mm-dd")&amp;"|"&amp;F113&amp;"|"&amp;I113)</x:f>
      </x:c>
      <x:c r="R113" s="38" t="str">
        <x:f>IF(OR(K113="",L113="",M113=""),"",SUM(K113:M113))</x:f>
      </x:c>
    </x:row>
    <x:row r="114">
      <x:c r="A114" s="32" t="str">
        <x:v>OBS0110</x:v>
      </x:c>
      <x:c r="B114" s="32"/>
      <x:c r="C114" s="34"/>
      <x:c r="D114" s="35"/>
      <x:c r="E114" s="32"/>
      <x:c r="F114" s="32"/>
      <x:c r="G114" s="32"/>
      <x:c r="H114" s="32"/>
      <x:c r="I114" s="32"/>
      <x:c r="J114" s="32"/>
      <x:c r="K114" s="36"/>
      <x:c r="L114" s="36"/>
      <x:c r="M114" s="36"/>
      <x:c r="N114" s="37"/>
      <x:c r="O114" s="37"/>
      <x:c r="P114" s="32"/>
      <x:c r="Q114" s="33" t="str">
        <x:f>IF(OR(B114="",C114="",F114="",I114=""),"",B114&amp;"|"&amp;TEXT(C114,"yyyy-mm-dd")&amp;"|"&amp;F114&amp;"|"&amp;I114)</x:f>
      </x:c>
      <x:c r="R114" s="38" t="str">
        <x:f>IF(OR(K114="",L114="",M114=""),"",SUM(K114:M114))</x:f>
      </x:c>
    </x:row>
    <x:row r="115">
      <x:c r="A115" s="32" t="str">
        <x:v>OBS0111</x:v>
      </x:c>
      <x:c r="B115" s="32"/>
      <x:c r="C115" s="34"/>
      <x:c r="D115" s="35"/>
      <x:c r="E115" s="32"/>
      <x:c r="F115" s="32"/>
      <x:c r="G115" s="32"/>
      <x:c r="H115" s="32"/>
      <x:c r="I115" s="32"/>
      <x:c r="J115" s="32"/>
      <x:c r="K115" s="36"/>
      <x:c r="L115" s="36"/>
      <x:c r="M115" s="36"/>
      <x:c r="N115" s="37"/>
      <x:c r="O115" s="37"/>
      <x:c r="P115" s="32"/>
      <x:c r="Q115" s="33" t="str">
        <x:f>IF(OR(B115="",C115="",F115="",I115=""),"",B115&amp;"|"&amp;TEXT(C115,"yyyy-mm-dd")&amp;"|"&amp;F115&amp;"|"&amp;I115)</x:f>
      </x:c>
      <x:c r="R115" s="38" t="str">
        <x:f>IF(OR(K115="",L115="",M115=""),"",SUM(K115:M115))</x:f>
      </x:c>
    </x:row>
    <x:row r="116">
      <x:c r="A116" s="32" t="str">
        <x:v>OBS0112</x:v>
      </x:c>
      <x:c r="B116" s="32"/>
      <x:c r="C116" s="34"/>
      <x:c r="D116" s="35"/>
      <x:c r="E116" s="32"/>
      <x:c r="F116" s="32"/>
      <x:c r="G116" s="32"/>
      <x:c r="H116" s="32"/>
      <x:c r="I116" s="32"/>
      <x:c r="J116" s="32"/>
      <x:c r="K116" s="36"/>
      <x:c r="L116" s="36"/>
      <x:c r="M116" s="36"/>
      <x:c r="N116" s="37"/>
      <x:c r="O116" s="37"/>
      <x:c r="P116" s="32"/>
      <x:c r="Q116" s="33" t="str">
        <x:f>IF(OR(B116="",C116="",F116="",I116=""),"",B116&amp;"|"&amp;TEXT(C116,"yyyy-mm-dd")&amp;"|"&amp;F116&amp;"|"&amp;I116)</x:f>
      </x:c>
      <x:c r="R116" s="38" t="str">
        <x:f>IF(OR(K116="",L116="",M116=""),"",SUM(K116:M116))</x:f>
      </x:c>
    </x:row>
    <x:row r="117">
      <x:c r="A117" s="32" t="str">
        <x:v>OBS0113</x:v>
      </x:c>
      <x:c r="B117" s="32"/>
      <x:c r="C117" s="34"/>
      <x:c r="D117" s="35"/>
      <x:c r="E117" s="32"/>
      <x:c r="F117" s="32"/>
      <x:c r="G117" s="32"/>
      <x:c r="H117" s="32"/>
      <x:c r="I117" s="32"/>
      <x:c r="J117" s="32"/>
      <x:c r="K117" s="36"/>
      <x:c r="L117" s="36"/>
      <x:c r="M117" s="36"/>
      <x:c r="N117" s="37"/>
      <x:c r="O117" s="37"/>
      <x:c r="P117" s="32"/>
      <x:c r="Q117" s="33" t="str">
        <x:f>IF(OR(B117="",C117="",F117="",I117=""),"",B117&amp;"|"&amp;TEXT(C117,"yyyy-mm-dd")&amp;"|"&amp;F117&amp;"|"&amp;I117)</x:f>
      </x:c>
      <x:c r="R117" s="38" t="str">
        <x:f>IF(OR(K117="",L117="",M117=""),"",SUM(K117:M117))</x:f>
      </x:c>
    </x:row>
    <x:row r="118">
      <x:c r="A118" s="32" t="str">
        <x:v>OBS0114</x:v>
      </x:c>
      <x:c r="B118" s="32"/>
      <x:c r="C118" s="34"/>
      <x:c r="D118" s="35"/>
      <x:c r="E118" s="32"/>
      <x:c r="F118" s="32"/>
      <x:c r="G118" s="32"/>
      <x:c r="H118" s="32"/>
      <x:c r="I118" s="32"/>
      <x:c r="J118" s="32"/>
      <x:c r="K118" s="36"/>
      <x:c r="L118" s="36"/>
      <x:c r="M118" s="36"/>
      <x:c r="N118" s="37"/>
      <x:c r="O118" s="37"/>
      <x:c r="P118" s="32"/>
      <x:c r="Q118" s="33" t="str">
        <x:f>IF(OR(B118="",C118="",F118="",I118=""),"",B118&amp;"|"&amp;TEXT(C118,"yyyy-mm-dd")&amp;"|"&amp;F118&amp;"|"&amp;I118)</x:f>
      </x:c>
      <x:c r="R118" s="38" t="str">
        <x:f>IF(OR(K118="",L118="",M118=""),"",SUM(K118:M118))</x:f>
      </x:c>
    </x:row>
    <x:row r="119">
      <x:c r="A119" s="32" t="str">
        <x:v>OBS0115</x:v>
      </x:c>
      <x:c r="B119" s="32"/>
      <x:c r="C119" s="34"/>
      <x:c r="D119" s="35"/>
      <x:c r="E119" s="32"/>
      <x:c r="F119" s="32"/>
      <x:c r="G119" s="32"/>
      <x:c r="H119" s="32"/>
      <x:c r="I119" s="32"/>
      <x:c r="J119" s="32"/>
      <x:c r="K119" s="36"/>
      <x:c r="L119" s="36"/>
      <x:c r="M119" s="36"/>
      <x:c r="N119" s="37"/>
      <x:c r="O119" s="37"/>
      <x:c r="P119" s="32"/>
      <x:c r="Q119" s="33" t="str">
        <x:f>IF(OR(B119="",C119="",F119="",I119=""),"",B119&amp;"|"&amp;TEXT(C119,"yyyy-mm-dd")&amp;"|"&amp;F119&amp;"|"&amp;I119)</x:f>
      </x:c>
      <x:c r="R119" s="38" t="str">
        <x:f>IF(OR(K119="",L119="",M119=""),"",SUM(K119:M119))</x:f>
      </x:c>
    </x:row>
    <x:row r="120">
      <x:c r="A120" s="32" t="str">
        <x:v>OBS0116</x:v>
      </x:c>
      <x:c r="B120" s="32"/>
      <x:c r="C120" s="34"/>
      <x:c r="D120" s="35"/>
      <x:c r="E120" s="32"/>
      <x:c r="F120" s="32"/>
      <x:c r="G120" s="32"/>
      <x:c r="H120" s="32"/>
      <x:c r="I120" s="32"/>
      <x:c r="J120" s="32"/>
      <x:c r="K120" s="36"/>
      <x:c r="L120" s="36"/>
      <x:c r="M120" s="36"/>
      <x:c r="N120" s="37"/>
      <x:c r="O120" s="37"/>
      <x:c r="P120" s="32"/>
      <x:c r="Q120" s="33" t="str">
        <x:f>IF(OR(B120="",C120="",F120="",I120=""),"",B120&amp;"|"&amp;TEXT(C120,"yyyy-mm-dd")&amp;"|"&amp;F120&amp;"|"&amp;I120)</x:f>
      </x:c>
      <x:c r="R120" s="38" t="str">
        <x:f>IF(OR(K120="",L120="",M120=""),"",SUM(K120:M120))</x:f>
      </x:c>
    </x:row>
    <x:row r="121">
      <x:c r="A121" s="32" t="str">
        <x:v>OBS0117</x:v>
      </x:c>
      <x:c r="B121" s="32"/>
      <x:c r="C121" s="34"/>
      <x:c r="D121" s="35"/>
      <x:c r="E121" s="32"/>
      <x:c r="F121" s="32"/>
      <x:c r="G121" s="32"/>
      <x:c r="H121" s="32"/>
      <x:c r="I121" s="32"/>
      <x:c r="J121" s="32"/>
      <x:c r="K121" s="36"/>
      <x:c r="L121" s="36"/>
      <x:c r="M121" s="36"/>
      <x:c r="N121" s="37"/>
      <x:c r="O121" s="37"/>
      <x:c r="P121" s="32"/>
      <x:c r="Q121" s="33" t="str">
        <x:f>IF(OR(B121="",C121="",F121="",I121=""),"",B121&amp;"|"&amp;TEXT(C121,"yyyy-mm-dd")&amp;"|"&amp;F121&amp;"|"&amp;I121)</x:f>
      </x:c>
      <x:c r="R121" s="38" t="str">
        <x:f>IF(OR(K121="",L121="",M121=""),"",SUM(K121:M121))</x:f>
      </x:c>
    </x:row>
    <x:row r="122">
      <x:c r="A122" s="32" t="str">
        <x:v>OBS0118</x:v>
      </x:c>
      <x:c r="B122" s="32"/>
      <x:c r="C122" s="34"/>
      <x:c r="D122" s="35"/>
      <x:c r="E122" s="32"/>
      <x:c r="F122" s="32"/>
      <x:c r="G122" s="32"/>
      <x:c r="H122" s="32"/>
      <x:c r="I122" s="32"/>
      <x:c r="J122" s="32"/>
      <x:c r="K122" s="36"/>
      <x:c r="L122" s="36"/>
      <x:c r="M122" s="36"/>
      <x:c r="N122" s="37"/>
      <x:c r="O122" s="37"/>
      <x:c r="P122" s="32"/>
      <x:c r="Q122" s="33" t="str">
        <x:f>IF(OR(B122="",C122="",F122="",I122=""),"",B122&amp;"|"&amp;TEXT(C122,"yyyy-mm-dd")&amp;"|"&amp;F122&amp;"|"&amp;I122)</x:f>
      </x:c>
      <x:c r="R122" s="38" t="str">
        <x:f>IF(OR(K122="",L122="",M122=""),"",SUM(K122:M122))</x:f>
      </x:c>
    </x:row>
    <x:row r="123">
      <x:c r="A123" s="32" t="str">
        <x:v>OBS0119</x:v>
      </x:c>
      <x:c r="B123" s="32"/>
      <x:c r="C123" s="34"/>
      <x:c r="D123" s="35"/>
      <x:c r="E123" s="32"/>
      <x:c r="F123" s="32"/>
      <x:c r="G123" s="32"/>
      <x:c r="H123" s="32"/>
      <x:c r="I123" s="32"/>
      <x:c r="J123" s="32"/>
      <x:c r="K123" s="36"/>
      <x:c r="L123" s="36"/>
      <x:c r="M123" s="36"/>
      <x:c r="N123" s="37"/>
      <x:c r="O123" s="37"/>
      <x:c r="P123" s="32"/>
      <x:c r="Q123" s="33" t="str">
        <x:f>IF(OR(B123="",C123="",F123="",I123=""),"",B123&amp;"|"&amp;TEXT(C123,"yyyy-mm-dd")&amp;"|"&amp;F123&amp;"|"&amp;I123)</x:f>
      </x:c>
      <x:c r="R123" s="38" t="str">
        <x:f>IF(OR(K123="",L123="",M123=""),"",SUM(K123:M123))</x:f>
      </x:c>
    </x:row>
    <x:row r="124">
      <x:c r="A124" s="32" t="str">
        <x:v>OBS0120</x:v>
      </x:c>
      <x:c r="B124" s="32"/>
      <x:c r="C124" s="34"/>
      <x:c r="D124" s="35"/>
      <x:c r="E124" s="32"/>
      <x:c r="F124" s="32"/>
      <x:c r="G124" s="32"/>
      <x:c r="H124" s="32"/>
      <x:c r="I124" s="32"/>
      <x:c r="J124" s="32"/>
      <x:c r="K124" s="36"/>
      <x:c r="L124" s="36"/>
      <x:c r="M124" s="36"/>
      <x:c r="N124" s="37"/>
      <x:c r="O124" s="37"/>
      <x:c r="P124" s="32"/>
      <x:c r="Q124" s="33" t="str">
        <x:f>IF(OR(B124="",C124="",F124="",I124=""),"",B124&amp;"|"&amp;TEXT(C124,"yyyy-mm-dd")&amp;"|"&amp;F124&amp;"|"&amp;I124)</x:f>
      </x:c>
      <x:c r="R124" s="38" t="str">
        <x:f>IF(OR(K124="",L124="",M124=""),"",SUM(K124:M124))</x:f>
      </x:c>
    </x:row>
    <x:row r="125">
      <x:c r="A125" s="32" t="str">
        <x:v>OBS0121</x:v>
      </x:c>
      <x:c r="B125" s="32"/>
      <x:c r="C125" s="34"/>
      <x:c r="D125" s="35"/>
      <x:c r="E125" s="32"/>
      <x:c r="F125" s="32"/>
      <x:c r="G125" s="32"/>
      <x:c r="H125" s="32"/>
      <x:c r="I125" s="32"/>
      <x:c r="J125" s="32"/>
      <x:c r="K125" s="36"/>
      <x:c r="L125" s="36"/>
      <x:c r="M125" s="36"/>
      <x:c r="N125" s="37"/>
      <x:c r="O125" s="37"/>
      <x:c r="P125" s="32"/>
      <x:c r="Q125" s="33" t="str">
        <x:f>IF(OR(B125="",C125="",F125="",I125=""),"",B125&amp;"|"&amp;TEXT(C125,"yyyy-mm-dd")&amp;"|"&amp;F125&amp;"|"&amp;I125)</x:f>
      </x:c>
      <x:c r="R125" s="38" t="str">
        <x:f>IF(OR(K125="",L125="",M125=""),"",SUM(K125:M125))</x:f>
      </x:c>
    </x:row>
    <x:row r="126">
      <x:c r="A126" s="32" t="str">
        <x:v>OBS0122</x:v>
      </x:c>
      <x:c r="B126" s="32"/>
      <x:c r="C126" s="34"/>
      <x:c r="D126" s="35"/>
      <x:c r="E126" s="32"/>
      <x:c r="F126" s="32"/>
      <x:c r="G126" s="32"/>
      <x:c r="H126" s="32"/>
      <x:c r="I126" s="32"/>
      <x:c r="J126" s="32"/>
      <x:c r="K126" s="36"/>
      <x:c r="L126" s="36"/>
      <x:c r="M126" s="36"/>
      <x:c r="N126" s="37"/>
      <x:c r="O126" s="37"/>
      <x:c r="P126" s="32"/>
      <x:c r="Q126" s="33" t="str">
        <x:f>IF(OR(B126="",C126="",F126="",I126=""),"",B126&amp;"|"&amp;TEXT(C126,"yyyy-mm-dd")&amp;"|"&amp;F126&amp;"|"&amp;I126)</x:f>
      </x:c>
      <x:c r="R126" s="38" t="str">
        <x:f>IF(OR(K126="",L126="",M126=""),"",SUM(K126:M126))</x:f>
      </x:c>
    </x:row>
    <x:row r="127">
      <x:c r="A127" s="32" t="str">
        <x:v>OBS0123</x:v>
      </x:c>
      <x:c r="B127" s="32"/>
      <x:c r="C127" s="34"/>
      <x:c r="D127" s="35"/>
      <x:c r="E127" s="32"/>
      <x:c r="F127" s="32"/>
      <x:c r="G127" s="32"/>
      <x:c r="H127" s="32"/>
      <x:c r="I127" s="32"/>
      <x:c r="J127" s="32"/>
      <x:c r="K127" s="36"/>
      <x:c r="L127" s="36"/>
      <x:c r="M127" s="36"/>
      <x:c r="N127" s="37"/>
      <x:c r="O127" s="37"/>
      <x:c r="P127" s="32"/>
      <x:c r="Q127" s="33" t="str">
        <x:f>IF(OR(B127="",C127="",F127="",I127=""),"",B127&amp;"|"&amp;TEXT(C127,"yyyy-mm-dd")&amp;"|"&amp;F127&amp;"|"&amp;I127)</x:f>
      </x:c>
      <x:c r="R127" s="38" t="str">
        <x:f>IF(OR(K127="",L127="",M127=""),"",SUM(K127:M127))</x:f>
      </x:c>
    </x:row>
    <x:row r="128">
      <x:c r="A128" s="32" t="str">
        <x:v>OBS0124</x:v>
      </x:c>
      <x:c r="B128" s="32"/>
      <x:c r="C128" s="34"/>
      <x:c r="D128" s="35"/>
      <x:c r="E128" s="32"/>
      <x:c r="F128" s="32"/>
      <x:c r="G128" s="32"/>
      <x:c r="H128" s="32"/>
      <x:c r="I128" s="32"/>
      <x:c r="J128" s="32"/>
      <x:c r="K128" s="36"/>
      <x:c r="L128" s="36"/>
      <x:c r="M128" s="36"/>
      <x:c r="N128" s="37"/>
      <x:c r="O128" s="37"/>
      <x:c r="P128" s="32"/>
      <x:c r="Q128" s="33" t="str">
        <x:f>IF(OR(B128="",C128="",F128="",I128=""),"",B128&amp;"|"&amp;TEXT(C128,"yyyy-mm-dd")&amp;"|"&amp;F128&amp;"|"&amp;I128)</x:f>
      </x:c>
      <x:c r="R128" s="38" t="str">
        <x:f>IF(OR(K128="",L128="",M128=""),"",SUM(K128:M128))</x:f>
      </x:c>
    </x:row>
    <x:row r="129">
      <x:c r="A129" s="32" t="str">
        <x:v>OBS0125</x:v>
      </x:c>
      <x:c r="B129" s="32"/>
      <x:c r="C129" s="34"/>
      <x:c r="D129" s="35"/>
      <x:c r="E129" s="32"/>
      <x:c r="F129" s="32"/>
      <x:c r="G129" s="32"/>
      <x:c r="H129" s="32"/>
      <x:c r="I129" s="32"/>
      <x:c r="J129" s="32"/>
      <x:c r="K129" s="36"/>
      <x:c r="L129" s="36"/>
      <x:c r="M129" s="36"/>
      <x:c r="N129" s="37"/>
      <x:c r="O129" s="37"/>
      <x:c r="P129" s="32"/>
      <x:c r="Q129" s="33" t="str">
        <x:f>IF(OR(B129="",C129="",F129="",I129=""),"",B129&amp;"|"&amp;TEXT(C129,"yyyy-mm-dd")&amp;"|"&amp;F129&amp;"|"&amp;I129)</x:f>
      </x:c>
      <x:c r="R129" s="38" t="str">
        <x:f>IF(OR(K129="",L129="",M129=""),"",SUM(K129:M129))</x:f>
      </x:c>
    </x:row>
    <x:row r="130">
      <x:c r="A130" s="32" t="str">
        <x:v>OBS0126</x:v>
      </x:c>
      <x:c r="B130" s="32"/>
      <x:c r="C130" s="34"/>
      <x:c r="D130" s="35"/>
      <x:c r="E130" s="32"/>
      <x:c r="F130" s="32"/>
      <x:c r="G130" s="32"/>
      <x:c r="H130" s="32"/>
      <x:c r="I130" s="32"/>
      <x:c r="J130" s="32"/>
      <x:c r="K130" s="36"/>
      <x:c r="L130" s="36"/>
      <x:c r="M130" s="36"/>
      <x:c r="N130" s="37"/>
      <x:c r="O130" s="37"/>
      <x:c r="P130" s="32"/>
      <x:c r="Q130" s="33" t="str">
        <x:f>IF(OR(B130="",C130="",F130="",I130=""),"",B130&amp;"|"&amp;TEXT(C130,"yyyy-mm-dd")&amp;"|"&amp;F130&amp;"|"&amp;I130)</x:f>
      </x:c>
      <x:c r="R130" s="38" t="str">
        <x:f>IF(OR(K130="",L130="",M130=""),"",SUM(K130:M130))</x:f>
      </x:c>
    </x:row>
    <x:row r="131">
      <x:c r="A131" s="32" t="str">
        <x:v>OBS0127</x:v>
      </x:c>
      <x:c r="B131" s="32"/>
      <x:c r="C131" s="34"/>
      <x:c r="D131" s="35"/>
      <x:c r="E131" s="32"/>
      <x:c r="F131" s="32"/>
      <x:c r="G131" s="32"/>
      <x:c r="H131" s="32"/>
      <x:c r="I131" s="32"/>
      <x:c r="J131" s="32"/>
      <x:c r="K131" s="36"/>
      <x:c r="L131" s="36"/>
      <x:c r="M131" s="36"/>
      <x:c r="N131" s="37"/>
      <x:c r="O131" s="37"/>
      <x:c r="P131" s="32"/>
      <x:c r="Q131" s="33" t="str">
        <x:f>IF(OR(B131="",C131="",F131="",I131=""),"",B131&amp;"|"&amp;TEXT(C131,"yyyy-mm-dd")&amp;"|"&amp;F131&amp;"|"&amp;I131)</x:f>
      </x:c>
      <x:c r="R131" s="38" t="str">
        <x:f>IF(OR(K131="",L131="",M131=""),"",SUM(K131:M131))</x:f>
      </x:c>
    </x:row>
    <x:row r="132">
      <x:c r="A132" s="32" t="str">
        <x:v>OBS0128</x:v>
      </x:c>
      <x:c r="B132" s="32"/>
      <x:c r="C132" s="34"/>
      <x:c r="D132" s="35"/>
      <x:c r="E132" s="32"/>
      <x:c r="F132" s="32"/>
      <x:c r="G132" s="32"/>
      <x:c r="H132" s="32"/>
      <x:c r="I132" s="32"/>
      <x:c r="J132" s="32"/>
      <x:c r="K132" s="36"/>
      <x:c r="L132" s="36"/>
      <x:c r="M132" s="36"/>
      <x:c r="N132" s="37"/>
      <x:c r="O132" s="37"/>
      <x:c r="P132" s="32"/>
      <x:c r="Q132" s="33" t="str">
        <x:f>IF(OR(B132="",C132="",F132="",I132=""),"",B132&amp;"|"&amp;TEXT(C132,"yyyy-mm-dd")&amp;"|"&amp;F132&amp;"|"&amp;I132)</x:f>
      </x:c>
      <x:c r="R132" s="38" t="str">
        <x:f>IF(OR(K132="",L132="",M132=""),"",SUM(K132:M132))</x:f>
      </x:c>
    </x:row>
    <x:row r="133">
      <x:c r="A133" s="32" t="str">
        <x:v>OBS0129</x:v>
      </x:c>
      <x:c r="B133" s="32"/>
      <x:c r="C133" s="34"/>
      <x:c r="D133" s="35"/>
      <x:c r="E133" s="32"/>
      <x:c r="F133" s="32"/>
      <x:c r="G133" s="32"/>
      <x:c r="H133" s="32"/>
      <x:c r="I133" s="32"/>
      <x:c r="J133" s="32"/>
      <x:c r="K133" s="36"/>
      <x:c r="L133" s="36"/>
      <x:c r="M133" s="36"/>
      <x:c r="N133" s="37"/>
      <x:c r="O133" s="37"/>
      <x:c r="P133" s="32"/>
      <x:c r="Q133" s="33" t="str">
        <x:f>IF(OR(B133="",C133="",F133="",I133=""),"",B133&amp;"|"&amp;TEXT(C133,"yyyy-mm-dd")&amp;"|"&amp;F133&amp;"|"&amp;I133)</x:f>
      </x:c>
      <x:c r="R133" s="38" t="str">
        <x:f>IF(OR(K133="",L133="",M133=""),"",SUM(K133:M133))</x:f>
      </x:c>
    </x:row>
    <x:row r="134">
      <x:c r="A134" s="32" t="str">
        <x:v>OBS0130</x:v>
      </x:c>
      <x:c r="B134" s="32"/>
      <x:c r="C134" s="34"/>
      <x:c r="D134" s="35"/>
      <x:c r="E134" s="32"/>
      <x:c r="F134" s="32"/>
      <x:c r="G134" s="32"/>
      <x:c r="H134" s="32"/>
      <x:c r="I134" s="32"/>
      <x:c r="J134" s="32"/>
      <x:c r="K134" s="36"/>
      <x:c r="L134" s="36"/>
      <x:c r="M134" s="36"/>
      <x:c r="N134" s="37"/>
      <x:c r="O134" s="37"/>
      <x:c r="P134" s="32"/>
      <x:c r="Q134" s="33" t="str">
        <x:f>IF(OR(B134="",C134="",F134="",I134=""),"",B134&amp;"|"&amp;TEXT(C134,"yyyy-mm-dd")&amp;"|"&amp;F134&amp;"|"&amp;I134)</x:f>
      </x:c>
      <x:c r="R134" s="38" t="str">
        <x:f>IF(OR(K134="",L134="",M134=""),"",SUM(K134:M134))</x:f>
      </x:c>
    </x:row>
    <x:row r="135">
      <x:c r="A135" s="32" t="str">
        <x:v>OBS0131</x:v>
      </x:c>
      <x:c r="B135" s="32"/>
      <x:c r="C135" s="34"/>
      <x:c r="D135" s="35"/>
      <x:c r="E135" s="32"/>
      <x:c r="F135" s="32"/>
      <x:c r="G135" s="32"/>
      <x:c r="H135" s="32"/>
      <x:c r="I135" s="32"/>
      <x:c r="J135" s="32"/>
      <x:c r="K135" s="36"/>
      <x:c r="L135" s="36"/>
      <x:c r="M135" s="36"/>
      <x:c r="N135" s="37"/>
      <x:c r="O135" s="37"/>
      <x:c r="P135" s="32"/>
      <x:c r="Q135" s="33" t="str">
        <x:f>IF(OR(B135="",C135="",F135="",I135=""),"",B135&amp;"|"&amp;TEXT(C135,"yyyy-mm-dd")&amp;"|"&amp;F135&amp;"|"&amp;I135)</x:f>
      </x:c>
      <x:c r="R135" s="38" t="str">
        <x:f>IF(OR(K135="",L135="",M135=""),"",SUM(K135:M135))</x:f>
      </x:c>
    </x:row>
    <x:row r="136">
      <x:c r="A136" s="32" t="str">
        <x:v>OBS0132</x:v>
      </x:c>
      <x:c r="B136" s="32"/>
      <x:c r="C136" s="34"/>
      <x:c r="D136" s="35"/>
      <x:c r="E136" s="32"/>
      <x:c r="F136" s="32"/>
      <x:c r="G136" s="32"/>
      <x:c r="H136" s="32"/>
      <x:c r="I136" s="32"/>
      <x:c r="J136" s="32"/>
      <x:c r="K136" s="36"/>
      <x:c r="L136" s="36"/>
      <x:c r="M136" s="36"/>
      <x:c r="N136" s="37"/>
      <x:c r="O136" s="37"/>
      <x:c r="P136" s="32"/>
      <x:c r="Q136" s="33" t="str">
        <x:f>IF(OR(B136="",C136="",F136="",I136=""),"",B136&amp;"|"&amp;TEXT(C136,"yyyy-mm-dd")&amp;"|"&amp;F136&amp;"|"&amp;I136)</x:f>
      </x:c>
      <x:c r="R136" s="38" t="str">
        <x:f>IF(OR(K136="",L136="",M136=""),"",SUM(K136:M136))</x:f>
      </x:c>
    </x:row>
    <x:row r="137">
      <x:c r="A137" s="32" t="str">
        <x:v>OBS0133</x:v>
      </x:c>
      <x:c r="B137" s="32"/>
      <x:c r="C137" s="34"/>
      <x:c r="D137" s="35"/>
      <x:c r="E137" s="32"/>
      <x:c r="F137" s="32"/>
      <x:c r="G137" s="32"/>
      <x:c r="H137" s="32"/>
      <x:c r="I137" s="32"/>
      <x:c r="J137" s="32"/>
      <x:c r="K137" s="36"/>
      <x:c r="L137" s="36"/>
      <x:c r="M137" s="36"/>
      <x:c r="N137" s="37"/>
      <x:c r="O137" s="37"/>
      <x:c r="P137" s="32"/>
      <x:c r="Q137" s="33" t="str">
        <x:f>IF(OR(B137="",C137="",F137="",I137=""),"",B137&amp;"|"&amp;TEXT(C137,"yyyy-mm-dd")&amp;"|"&amp;F137&amp;"|"&amp;I137)</x:f>
      </x:c>
      <x:c r="R137" s="38" t="str">
        <x:f>IF(OR(K137="",L137="",M137=""),"",SUM(K137:M137))</x:f>
      </x:c>
    </x:row>
    <x:row r="138">
      <x:c r="A138" s="32" t="str">
        <x:v>OBS0134</x:v>
      </x:c>
      <x:c r="B138" s="32"/>
      <x:c r="C138" s="34"/>
      <x:c r="D138" s="35"/>
      <x:c r="E138" s="32"/>
      <x:c r="F138" s="32"/>
      <x:c r="G138" s="32"/>
      <x:c r="H138" s="32"/>
      <x:c r="I138" s="32"/>
      <x:c r="J138" s="32"/>
      <x:c r="K138" s="36"/>
      <x:c r="L138" s="36"/>
      <x:c r="M138" s="36"/>
      <x:c r="N138" s="37"/>
      <x:c r="O138" s="37"/>
      <x:c r="P138" s="32"/>
      <x:c r="Q138" s="33" t="str">
        <x:f>IF(OR(B138="",C138="",F138="",I138=""),"",B138&amp;"|"&amp;TEXT(C138,"yyyy-mm-dd")&amp;"|"&amp;F138&amp;"|"&amp;I138)</x:f>
      </x:c>
      <x:c r="R138" s="38" t="str">
        <x:f>IF(OR(K138="",L138="",M138=""),"",SUM(K138:M138))</x:f>
      </x:c>
    </x:row>
    <x:row r="139">
      <x:c r="A139" s="32" t="str">
        <x:v>OBS0135</x:v>
      </x:c>
      <x:c r="B139" s="32"/>
      <x:c r="C139" s="34"/>
      <x:c r="D139" s="35"/>
      <x:c r="E139" s="32"/>
      <x:c r="F139" s="32"/>
      <x:c r="G139" s="32"/>
      <x:c r="H139" s="32"/>
      <x:c r="I139" s="32"/>
      <x:c r="J139" s="32"/>
      <x:c r="K139" s="36"/>
      <x:c r="L139" s="36"/>
      <x:c r="M139" s="36"/>
      <x:c r="N139" s="37"/>
      <x:c r="O139" s="37"/>
      <x:c r="P139" s="32"/>
      <x:c r="Q139" s="33" t="str">
        <x:f>IF(OR(B139="",C139="",F139="",I139=""),"",B139&amp;"|"&amp;TEXT(C139,"yyyy-mm-dd")&amp;"|"&amp;F139&amp;"|"&amp;I139)</x:f>
      </x:c>
      <x:c r="R139" s="38" t="str">
        <x:f>IF(OR(K139="",L139="",M139=""),"",SUM(K139:M139))</x:f>
      </x:c>
    </x:row>
    <x:row r="140">
      <x:c r="A140" s="32" t="str">
        <x:v>OBS0136</x:v>
      </x:c>
      <x:c r="B140" s="32"/>
      <x:c r="C140" s="34"/>
      <x:c r="D140" s="35"/>
      <x:c r="E140" s="32"/>
      <x:c r="F140" s="32"/>
      <x:c r="G140" s="32"/>
      <x:c r="H140" s="32"/>
      <x:c r="I140" s="32"/>
      <x:c r="J140" s="32"/>
      <x:c r="K140" s="36"/>
      <x:c r="L140" s="36"/>
      <x:c r="M140" s="36"/>
      <x:c r="N140" s="37"/>
      <x:c r="O140" s="37"/>
      <x:c r="P140" s="32"/>
      <x:c r="Q140" s="33" t="str">
        <x:f>IF(OR(B140="",C140="",F140="",I140=""),"",B140&amp;"|"&amp;TEXT(C140,"yyyy-mm-dd")&amp;"|"&amp;F140&amp;"|"&amp;I140)</x:f>
      </x:c>
      <x:c r="R140" s="38" t="str">
        <x:f>IF(OR(K140="",L140="",M140=""),"",SUM(K140:M140))</x:f>
      </x:c>
    </x:row>
    <x:row r="141">
      <x:c r="A141" s="32" t="str">
        <x:v>OBS0137</x:v>
      </x:c>
      <x:c r="B141" s="32"/>
      <x:c r="C141" s="34"/>
      <x:c r="D141" s="35"/>
      <x:c r="E141" s="32"/>
      <x:c r="F141" s="32"/>
      <x:c r="G141" s="32"/>
      <x:c r="H141" s="32"/>
      <x:c r="I141" s="32"/>
      <x:c r="J141" s="32"/>
      <x:c r="K141" s="36"/>
      <x:c r="L141" s="36"/>
      <x:c r="M141" s="36"/>
      <x:c r="N141" s="37"/>
      <x:c r="O141" s="37"/>
      <x:c r="P141" s="32"/>
      <x:c r="Q141" s="33" t="str">
        <x:f>IF(OR(B141="",C141="",F141="",I141=""),"",B141&amp;"|"&amp;TEXT(C141,"yyyy-mm-dd")&amp;"|"&amp;F141&amp;"|"&amp;I141)</x:f>
      </x:c>
      <x:c r="R141" s="38" t="str">
        <x:f>IF(OR(K141="",L141="",M141=""),"",SUM(K141:M141))</x:f>
      </x:c>
    </x:row>
    <x:row r="142">
      <x:c r="A142" s="32" t="str">
        <x:v>OBS0138</x:v>
      </x:c>
      <x:c r="B142" s="32"/>
      <x:c r="C142" s="34"/>
      <x:c r="D142" s="35"/>
      <x:c r="E142" s="32"/>
      <x:c r="F142" s="32"/>
      <x:c r="G142" s="32"/>
      <x:c r="H142" s="32"/>
      <x:c r="I142" s="32"/>
      <x:c r="J142" s="32"/>
      <x:c r="K142" s="36"/>
      <x:c r="L142" s="36"/>
      <x:c r="M142" s="36"/>
      <x:c r="N142" s="37"/>
      <x:c r="O142" s="37"/>
      <x:c r="P142" s="32"/>
      <x:c r="Q142" s="33" t="str">
        <x:f>IF(OR(B142="",C142="",F142="",I142=""),"",B142&amp;"|"&amp;TEXT(C142,"yyyy-mm-dd")&amp;"|"&amp;F142&amp;"|"&amp;I142)</x:f>
      </x:c>
      <x:c r="R142" s="38" t="str">
        <x:f>IF(OR(K142="",L142="",M142=""),"",SUM(K142:M142))</x:f>
      </x:c>
    </x:row>
    <x:row r="143">
      <x:c r="A143" s="32" t="str">
        <x:v>OBS0139</x:v>
      </x:c>
      <x:c r="B143" s="32"/>
      <x:c r="C143" s="34"/>
      <x:c r="D143" s="35"/>
      <x:c r="E143" s="32"/>
      <x:c r="F143" s="32"/>
      <x:c r="G143" s="32"/>
      <x:c r="H143" s="32"/>
      <x:c r="I143" s="32"/>
      <x:c r="J143" s="32"/>
      <x:c r="K143" s="36"/>
      <x:c r="L143" s="36"/>
      <x:c r="M143" s="36"/>
      <x:c r="N143" s="37"/>
      <x:c r="O143" s="37"/>
      <x:c r="P143" s="32"/>
      <x:c r="Q143" s="33" t="str">
        <x:f>IF(OR(B143="",C143="",F143="",I143=""),"",B143&amp;"|"&amp;TEXT(C143,"yyyy-mm-dd")&amp;"|"&amp;F143&amp;"|"&amp;I143)</x:f>
      </x:c>
      <x:c r="R143" s="38" t="str">
        <x:f>IF(OR(K143="",L143="",M143=""),"",SUM(K143:M143))</x:f>
      </x:c>
    </x:row>
    <x:row r="144">
      <x:c r="A144" s="32" t="str">
        <x:v>OBS0140</x:v>
      </x:c>
      <x:c r="B144" s="32"/>
      <x:c r="C144" s="34"/>
      <x:c r="D144" s="35"/>
      <x:c r="E144" s="32"/>
      <x:c r="F144" s="32"/>
      <x:c r="G144" s="32"/>
      <x:c r="H144" s="32"/>
      <x:c r="I144" s="32"/>
      <x:c r="J144" s="32"/>
      <x:c r="K144" s="36"/>
      <x:c r="L144" s="36"/>
      <x:c r="M144" s="36"/>
      <x:c r="N144" s="37"/>
      <x:c r="O144" s="37"/>
      <x:c r="P144" s="32"/>
      <x:c r="Q144" s="33" t="str">
        <x:f>IF(OR(B144="",C144="",F144="",I144=""),"",B144&amp;"|"&amp;TEXT(C144,"yyyy-mm-dd")&amp;"|"&amp;F144&amp;"|"&amp;I144)</x:f>
      </x:c>
      <x:c r="R144" s="38" t="str">
        <x:f>IF(OR(K144="",L144="",M144=""),"",SUM(K144:M144))</x:f>
      </x:c>
    </x:row>
    <x:row r="145">
      <x:c r="A145" s="32" t="str">
        <x:v>OBS0141</x:v>
      </x:c>
      <x:c r="B145" s="32"/>
      <x:c r="C145" s="34"/>
      <x:c r="D145" s="35"/>
      <x:c r="E145" s="32"/>
      <x:c r="F145" s="32"/>
      <x:c r="G145" s="32"/>
      <x:c r="H145" s="32"/>
      <x:c r="I145" s="32"/>
      <x:c r="J145" s="32"/>
      <x:c r="K145" s="36"/>
      <x:c r="L145" s="36"/>
      <x:c r="M145" s="36"/>
      <x:c r="N145" s="37"/>
      <x:c r="O145" s="37"/>
      <x:c r="P145" s="32"/>
      <x:c r="Q145" s="33" t="str">
        <x:f>IF(OR(B145="",C145="",F145="",I145=""),"",B145&amp;"|"&amp;TEXT(C145,"yyyy-mm-dd")&amp;"|"&amp;F145&amp;"|"&amp;I145)</x:f>
      </x:c>
      <x:c r="R145" s="38" t="str">
        <x:f>IF(OR(K145="",L145="",M145=""),"",SUM(K145:M145))</x:f>
      </x:c>
    </x:row>
    <x:row r="146">
      <x:c r="A146" s="32" t="str">
        <x:v>OBS0142</x:v>
      </x:c>
      <x:c r="B146" s="32"/>
      <x:c r="C146" s="34"/>
      <x:c r="D146" s="35"/>
      <x:c r="E146" s="32"/>
      <x:c r="F146" s="32"/>
      <x:c r="G146" s="32"/>
      <x:c r="H146" s="32"/>
      <x:c r="I146" s="32"/>
      <x:c r="J146" s="32"/>
      <x:c r="K146" s="36"/>
      <x:c r="L146" s="36"/>
      <x:c r="M146" s="36"/>
      <x:c r="N146" s="37"/>
      <x:c r="O146" s="37"/>
      <x:c r="P146" s="32"/>
      <x:c r="Q146" s="33" t="str">
        <x:f>IF(OR(B146="",C146="",F146="",I146=""),"",B146&amp;"|"&amp;TEXT(C146,"yyyy-mm-dd")&amp;"|"&amp;F146&amp;"|"&amp;I146)</x:f>
      </x:c>
      <x:c r="R146" s="38" t="str">
        <x:f>IF(OR(K146="",L146="",M146=""),"",SUM(K146:M146))</x:f>
      </x:c>
    </x:row>
    <x:row r="147">
      <x:c r="A147" s="32" t="str">
        <x:v>OBS0143</x:v>
      </x:c>
      <x:c r="B147" s="32"/>
      <x:c r="C147" s="34"/>
      <x:c r="D147" s="35"/>
      <x:c r="E147" s="32"/>
      <x:c r="F147" s="32"/>
      <x:c r="G147" s="32"/>
      <x:c r="H147" s="32"/>
      <x:c r="I147" s="32"/>
      <x:c r="J147" s="32"/>
      <x:c r="K147" s="36"/>
      <x:c r="L147" s="36"/>
      <x:c r="M147" s="36"/>
      <x:c r="N147" s="37"/>
      <x:c r="O147" s="37"/>
      <x:c r="P147" s="32"/>
      <x:c r="Q147" s="33" t="str">
        <x:f>IF(OR(B147="",C147="",F147="",I147=""),"",B147&amp;"|"&amp;TEXT(C147,"yyyy-mm-dd")&amp;"|"&amp;F147&amp;"|"&amp;I147)</x:f>
      </x:c>
      <x:c r="R147" s="38" t="str">
        <x:f>IF(OR(K147="",L147="",M147=""),"",SUM(K147:M147))</x:f>
      </x:c>
    </x:row>
    <x:row r="148">
      <x:c r="A148" s="32" t="str">
        <x:v>OBS0144</x:v>
      </x:c>
      <x:c r="B148" s="32"/>
      <x:c r="C148" s="34"/>
      <x:c r="D148" s="35"/>
      <x:c r="E148" s="32"/>
      <x:c r="F148" s="32"/>
      <x:c r="G148" s="32"/>
      <x:c r="H148" s="32"/>
      <x:c r="I148" s="32"/>
      <x:c r="J148" s="32"/>
      <x:c r="K148" s="36"/>
      <x:c r="L148" s="36"/>
      <x:c r="M148" s="36"/>
      <x:c r="N148" s="37"/>
      <x:c r="O148" s="37"/>
      <x:c r="P148" s="32"/>
      <x:c r="Q148" s="33" t="str">
        <x:f>IF(OR(B148="",C148="",F148="",I148=""),"",B148&amp;"|"&amp;TEXT(C148,"yyyy-mm-dd")&amp;"|"&amp;F148&amp;"|"&amp;I148)</x:f>
      </x:c>
      <x:c r="R148" s="38" t="str">
        <x:f>IF(OR(K148="",L148="",M148=""),"",SUM(K148:M148))</x:f>
      </x:c>
    </x:row>
    <x:row r="149">
      <x:c r="A149" s="32" t="str">
        <x:v>OBS0145</x:v>
      </x:c>
      <x:c r="B149" s="32"/>
      <x:c r="C149" s="34"/>
      <x:c r="D149" s="35"/>
      <x:c r="E149" s="32"/>
      <x:c r="F149" s="32"/>
      <x:c r="G149" s="32"/>
      <x:c r="H149" s="32"/>
      <x:c r="I149" s="32"/>
      <x:c r="J149" s="32"/>
      <x:c r="K149" s="36"/>
      <x:c r="L149" s="36"/>
      <x:c r="M149" s="36"/>
      <x:c r="N149" s="37"/>
      <x:c r="O149" s="37"/>
      <x:c r="P149" s="32"/>
      <x:c r="Q149" s="33" t="str">
        <x:f>IF(OR(B149="",C149="",F149="",I149=""),"",B149&amp;"|"&amp;TEXT(C149,"yyyy-mm-dd")&amp;"|"&amp;F149&amp;"|"&amp;I149)</x:f>
      </x:c>
      <x:c r="R149" s="38" t="str">
        <x:f>IF(OR(K149="",L149="",M149=""),"",SUM(K149:M149))</x:f>
      </x:c>
    </x:row>
    <x:row r="150">
      <x:c r="A150" s="32" t="str">
        <x:v>OBS0146</x:v>
      </x:c>
      <x:c r="B150" s="32"/>
      <x:c r="C150" s="34"/>
      <x:c r="D150" s="35"/>
      <x:c r="E150" s="32"/>
      <x:c r="F150" s="32"/>
      <x:c r="G150" s="32"/>
      <x:c r="H150" s="32"/>
      <x:c r="I150" s="32"/>
      <x:c r="J150" s="32"/>
      <x:c r="K150" s="36"/>
      <x:c r="L150" s="36"/>
      <x:c r="M150" s="36"/>
      <x:c r="N150" s="37"/>
      <x:c r="O150" s="37"/>
      <x:c r="P150" s="32"/>
      <x:c r="Q150" s="33" t="str">
        <x:f>IF(OR(B150="",C150="",F150="",I150=""),"",B150&amp;"|"&amp;TEXT(C150,"yyyy-mm-dd")&amp;"|"&amp;F150&amp;"|"&amp;I150)</x:f>
      </x:c>
      <x:c r="R150" s="38" t="str">
        <x:f>IF(OR(K150="",L150="",M150=""),"",SUM(K150:M150))</x:f>
      </x:c>
    </x:row>
    <x:row r="151">
      <x:c r="A151" s="32" t="str">
        <x:v>OBS0147</x:v>
      </x:c>
      <x:c r="B151" s="32"/>
      <x:c r="C151" s="34"/>
      <x:c r="D151" s="35"/>
      <x:c r="E151" s="32"/>
      <x:c r="F151" s="32"/>
      <x:c r="G151" s="32"/>
      <x:c r="H151" s="32"/>
      <x:c r="I151" s="32"/>
      <x:c r="J151" s="32"/>
      <x:c r="K151" s="36"/>
      <x:c r="L151" s="36"/>
      <x:c r="M151" s="36"/>
      <x:c r="N151" s="37"/>
      <x:c r="O151" s="37"/>
      <x:c r="P151" s="32"/>
      <x:c r="Q151" s="33" t="str">
        <x:f>IF(OR(B151="",C151="",F151="",I151=""),"",B151&amp;"|"&amp;TEXT(C151,"yyyy-mm-dd")&amp;"|"&amp;F151&amp;"|"&amp;I151)</x:f>
      </x:c>
      <x:c r="R151" s="38" t="str">
        <x:f>IF(OR(K151="",L151="",M151=""),"",SUM(K151:M151))</x:f>
      </x:c>
    </x:row>
    <x:row r="152">
      <x:c r="A152" s="32" t="str">
        <x:v>OBS0148</x:v>
      </x:c>
      <x:c r="B152" s="32"/>
      <x:c r="C152" s="34"/>
      <x:c r="D152" s="35"/>
      <x:c r="E152" s="32"/>
      <x:c r="F152" s="32"/>
      <x:c r="G152" s="32"/>
      <x:c r="H152" s="32"/>
      <x:c r="I152" s="32"/>
      <x:c r="J152" s="32"/>
      <x:c r="K152" s="36"/>
      <x:c r="L152" s="36"/>
      <x:c r="M152" s="36"/>
      <x:c r="N152" s="37"/>
      <x:c r="O152" s="37"/>
      <x:c r="P152" s="32"/>
      <x:c r="Q152" s="33" t="str">
        <x:f>IF(OR(B152="",C152="",F152="",I152=""),"",B152&amp;"|"&amp;TEXT(C152,"yyyy-mm-dd")&amp;"|"&amp;F152&amp;"|"&amp;I152)</x:f>
      </x:c>
      <x:c r="R152" s="38" t="str">
        <x:f>IF(OR(K152="",L152="",M152=""),"",SUM(K152:M152))</x:f>
      </x:c>
    </x:row>
    <x:row r="153">
      <x:c r="A153" s="32" t="str">
        <x:v>OBS0149</x:v>
      </x:c>
      <x:c r="B153" s="32"/>
      <x:c r="C153" s="34"/>
      <x:c r="D153" s="35"/>
      <x:c r="E153" s="32"/>
      <x:c r="F153" s="32"/>
      <x:c r="G153" s="32"/>
      <x:c r="H153" s="32"/>
      <x:c r="I153" s="32"/>
      <x:c r="J153" s="32"/>
      <x:c r="K153" s="36"/>
      <x:c r="L153" s="36"/>
      <x:c r="M153" s="36"/>
      <x:c r="N153" s="37"/>
      <x:c r="O153" s="37"/>
      <x:c r="P153" s="32"/>
      <x:c r="Q153" s="33" t="str">
        <x:f>IF(OR(B153="",C153="",F153="",I153=""),"",B153&amp;"|"&amp;TEXT(C153,"yyyy-mm-dd")&amp;"|"&amp;F153&amp;"|"&amp;I153)</x:f>
      </x:c>
      <x:c r="R153" s="38" t="str">
        <x:f>IF(OR(K153="",L153="",M153=""),"",SUM(K153:M153))</x:f>
      </x:c>
    </x:row>
    <x:row r="154">
      <x:c r="A154" s="32" t="str">
        <x:v>OBS0150</x:v>
      </x:c>
      <x:c r="B154" s="32"/>
      <x:c r="C154" s="34"/>
      <x:c r="D154" s="35"/>
      <x:c r="E154" s="32"/>
      <x:c r="F154" s="32"/>
      <x:c r="G154" s="32"/>
      <x:c r="H154" s="32"/>
      <x:c r="I154" s="32"/>
      <x:c r="J154" s="32"/>
      <x:c r="K154" s="36"/>
      <x:c r="L154" s="36"/>
      <x:c r="M154" s="36"/>
      <x:c r="N154" s="37"/>
      <x:c r="O154" s="37"/>
      <x:c r="P154" s="32"/>
      <x:c r="Q154" s="33" t="str">
        <x:f>IF(OR(B154="",C154="",F154="",I154=""),"",B154&amp;"|"&amp;TEXT(C154,"yyyy-mm-dd")&amp;"|"&amp;F154&amp;"|"&amp;I154)</x:f>
      </x:c>
      <x:c r="R154" s="38" t="str">
        <x:f>IF(OR(K154="",L154="",M154=""),"",SUM(K154:M154))</x:f>
      </x:c>
    </x:row>
    <x:row r="155">
      <x:c r="A155" s="32" t="str">
        <x:v>OBS0151</x:v>
      </x:c>
      <x:c r="B155" s="32"/>
      <x:c r="C155" s="34"/>
      <x:c r="D155" s="35"/>
      <x:c r="E155" s="32"/>
      <x:c r="F155" s="32"/>
      <x:c r="G155" s="32"/>
      <x:c r="H155" s="32"/>
      <x:c r="I155" s="32"/>
      <x:c r="J155" s="32"/>
      <x:c r="K155" s="36"/>
      <x:c r="L155" s="36"/>
      <x:c r="M155" s="36"/>
      <x:c r="N155" s="37"/>
      <x:c r="O155" s="37"/>
      <x:c r="P155" s="32"/>
      <x:c r="Q155" s="33" t="str">
        <x:f>IF(OR(B155="",C155="",F155="",I155=""),"",B155&amp;"|"&amp;TEXT(C155,"yyyy-mm-dd")&amp;"|"&amp;F155&amp;"|"&amp;I155)</x:f>
      </x:c>
      <x:c r="R155" s="38" t="str">
        <x:f>IF(OR(K155="",L155="",M155=""),"",SUM(K155:M155))</x:f>
      </x:c>
    </x:row>
    <x:row r="156">
      <x:c r="A156" s="32" t="str">
        <x:v>OBS0152</x:v>
      </x:c>
      <x:c r="B156" s="32"/>
      <x:c r="C156" s="34"/>
      <x:c r="D156" s="35"/>
      <x:c r="E156" s="32"/>
      <x:c r="F156" s="32"/>
      <x:c r="G156" s="32"/>
      <x:c r="H156" s="32"/>
      <x:c r="I156" s="32"/>
      <x:c r="J156" s="32"/>
      <x:c r="K156" s="36"/>
      <x:c r="L156" s="36"/>
      <x:c r="M156" s="36"/>
      <x:c r="N156" s="37"/>
      <x:c r="O156" s="37"/>
      <x:c r="P156" s="32"/>
      <x:c r="Q156" s="33" t="str">
        <x:f>IF(OR(B156="",C156="",F156="",I156=""),"",B156&amp;"|"&amp;TEXT(C156,"yyyy-mm-dd")&amp;"|"&amp;F156&amp;"|"&amp;I156)</x:f>
      </x:c>
      <x:c r="R156" s="38" t="str">
        <x:f>IF(OR(K156="",L156="",M156=""),"",SUM(K156:M156))</x:f>
      </x:c>
    </x:row>
    <x:row r="157">
      <x:c r="A157" s="32" t="str">
        <x:v>OBS0153</x:v>
      </x:c>
      <x:c r="B157" s="32"/>
      <x:c r="C157" s="34"/>
      <x:c r="D157" s="35"/>
      <x:c r="E157" s="32"/>
      <x:c r="F157" s="32"/>
      <x:c r="G157" s="32"/>
      <x:c r="H157" s="32"/>
      <x:c r="I157" s="32"/>
      <x:c r="J157" s="32"/>
      <x:c r="K157" s="36"/>
      <x:c r="L157" s="36"/>
      <x:c r="M157" s="36"/>
      <x:c r="N157" s="37"/>
      <x:c r="O157" s="37"/>
      <x:c r="P157" s="32"/>
      <x:c r="Q157" s="33" t="str">
        <x:f>IF(OR(B157="",C157="",F157="",I157=""),"",B157&amp;"|"&amp;TEXT(C157,"yyyy-mm-dd")&amp;"|"&amp;F157&amp;"|"&amp;I157)</x:f>
      </x:c>
      <x:c r="R157" s="38" t="str">
        <x:f>IF(OR(K157="",L157="",M157=""),"",SUM(K157:M157))</x:f>
      </x:c>
    </x:row>
    <x:row r="158">
      <x:c r="A158" s="32" t="str">
        <x:v>OBS0154</x:v>
      </x:c>
      <x:c r="B158" s="32"/>
      <x:c r="C158" s="34"/>
      <x:c r="D158" s="35"/>
      <x:c r="E158" s="32"/>
      <x:c r="F158" s="32"/>
      <x:c r="G158" s="32"/>
      <x:c r="H158" s="32"/>
      <x:c r="I158" s="32"/>
      <x:c r="J158" s="32"/>
      <x:c r="K158" s="36"/>
      <x:c r="L158" s="36"/>
      <x:c r="M158" s="36"/>
      <x:c r="N158" s="37"/>
      <x:c r="O158" s="37"/>
      <x:c r="P158" s="32"/>
      <x:c r="Q158" s="33" t="str">
        <x:f>IF(OR(B158="",C158="",F158="",I158=""),"",B158&amp;"|"&amp;TEXT(C158,"yyyy-mm-dd")&amp;"|"&amp;F158&amp;"|"&amp;I158)</x:f>
      </x:c>
      <x:c r="R158" s="38" t="str">
        <x:f>IF(OR(K158="",L158="",M158=""),"",SUM(K158:M158))</x:f>
      </x:c>
    </x:row>
    <x:row r="159">
      <x:c r="A159" s="32" t="str">
        <x:v>OBS0155</x:v>
      </x:c>
      <x:c r="B159" s="32"/>
      <x:c r="C159" s="34"/>
      <x:c r="D159" s="35"/>
      <x:c r="E159" s="32"/>
      <x:c r="F159" s="32"/>
      <x:c r="G159" s="32"/>
      <x:c r="H159" s="32"/>
      <x:c r="I159" s="32"/>
      <x:c r="J159" s="32"/>
      <x:c r="K159" s="36"/>
      <x:c r="L159" s="36"/>
      <x:c r="M159" s="36"/>
      <x:c r="N159" s="37"/>
      <x:c r="O159" s="37"/>
      <x:c r="P159" s="32"/>
      <x:c r="Q159" s="33" t="str">
        <x:f>IF(OR(B159="",C159="",F159="",I159=""),"",B159&amp;"|"&amp;TEXT(C159,"yyyy-mm-dd")&amp;"|"&amp;F159&amp;"|"&amp;I159)</x:f>
      </x:c>
      <x:c r="R159" s="38" t="str">
        <x:f>IF(OR(K159="",L159="",M159=""),"",SUM(K159:M159))</x:f>
      </x:c>
    </x:row>
    <x:row r="160">
      <x:c r="A160" s="32" t="str">
        <x:v>OBS0156</x:v>
      </x:c>
      <x:c r="B160" s="32"/>
      <x:c r="C160" s="34"/>
      <x:c r="D160" s="35"/>
      <x:c r="E160" s="32"/>
      <x:c r="F160" s="32"/>
      <x:c r="G160" s="32"/>
      <x:c r="H160" s="32"/>
      <x:c r="I160" s="32"/>
      <x:c r="J160" s="32"/>
      <x:c r="K160" s="36"/>
      <x:c r="L160" s="36"/>
      <x:c r="M160" s="36"/>
      <x:c r="N160" s="37"/>
      <x:c r="O160" s="37"/>
      <x:c r="P160" s="32"/>
      <x:c r="Q160" s="33" t="str">
        <x:f>IF(OR(B160="",C160="",F160="",I160=""),"",B160&amp;"|"&amp;TEXT(C160,"yyyy-mm-dd")&amp;"|"&amp;F160&amp;"|"&amp;I160)</x:f>
      </x:c>
      <x:c r="R160" s="38" t="str">
        <x:f>IF(OR(K160="",L160="",M160=""),"",SUM(K160:M160))</x:f>
      </x:c>
    </x:row>
    <x:row r="161">
      <x:c r="A161" s="32" t="str">
        <x:v>OBS0157</x:v>
      </x:c>
      <x:c r="B161" s="32"/>
      <x:c r="C161" s="34"/>
      <x:c r="D161" s="35"/>
      <x:c r="E161" s="32"/>
      <x:c r="F161" s="32"/>
      <x:c r="G161" s="32"/>
      <x:c r="H161" s="32"/>
      <x:c r="I161" s="32"/>
      <x:c r="J161" s="32"/>
      <x:c r="K161" s="36"/>
      <x:c r="L161" s="36"/>
      <x:c r="M161" s="36"/>
      <x:c r="N161" s="37"/>
      <x:c r="O161" s="37"/>
      <x:c r="P161" s="32"/>
      <x:c r="Q161" s="33" t="str">
        <x:f>IF(OR(B161="",C161="",F161="",I161=""),"",B161&amp;"|"&amp;TEXT(C161,"yyyy-mm-dd")&amp;"|"&amp;F161&amp;"|"&amp;I161)</x:f>
      </x:c>
      <x:c r="R161" s="38" t="str">
        <x:f>IF(OR(K161="",L161="",M161=""),"",SUM(K161:M161))</x:f>
      </x:c>
    </x:row>
    <x:row r="162">
      <x:c r="A162" s="32" t="str">
        <x:v>OBS0158</x:v>
      </x:c>
      <x:c r="B162" s="32"/>
      <x:c r="C162" s="34"/>
      <x:c r="D162" s="35"/>
      <x:c r="E162" s="32"/>
      <x:c r="F162" s="32"/>
      <x:c r="G162" s="32"/>
      <x:c r="H162" s="32"/>
      <x:c r="I162" s="32"/>
      <x:c r="J162" s="32"/>
      <x:c r="K162" s="36"/>
      <x:c r="L162" s="36"/>
      <x:c r="M162" s="36"/>
      <x:c r="N162" s="37"/>
      <x:c r="O162" s="37"/>
      <x:c r="P162" s="32"/>
      <x:c r="Q162" s="33" t="str">
        <x:f>IF(OR(B162="",C162="",F162="",I162=""),"",B162&amp;"|"&amp;TEXT(C162,"yyyy-mm-dd")&amp;"|"&amp;F162&amp;"|"&amp;I162)</x:f>
      </x:c>
      <x:c r="R162" s="38" t="str">
        <x:f>IF(OR(K162="",L162="",M162=""),"",SUM(K162:M162))</x:f>
      </x:c>
    </x:row>
    <x:row r="163">
      <x:c r="A163" s="32" t="str">
        <x:v>OBS0159</x:v>
      </x:c>
      <x:c r="B163" s="32"/>
      <x:c r="C163" s="34"/>
      <x:c r="D163" s="35"/>
      <x:c r="E163" s="32"/>
      <x:c r="F163" s="32"/>
      <x:c r="G163" s="32"/>
      <x:c r="H163" s="32"/>
      <x:c r="I163" s="32"/>
      <x:c r="J163" s="32"/>
      <x:c r="K163" s="36"/>
      <x:c r="L163" s="36"/>
      <x:c r="M163" s="36"/>
      <x:c r="N163" s="37"/>
      <x:c r="O163" s="37"/>
      <x:c r="P163" s="32"/>
      <x:c r="Q163" s="33" t="str">
        <x:f>IF(OR(B163="",C163="",F163="",I163=""),"",B163&amp;"|"&amp;TEXT(C163,"yyyy-mm-dd")&amp;"|"&amp;F163&amp;"|"&amp;I163)</x:f>
      </x:c>
      <x:c r="R163" s="38" t="str">
        <x:f>IF(OR(K163="",L163="",M163=""),"",SUM(K163:M163))</x:f>
      </x:c>
    </x:row>
    <x:row r="164">
      <x:c r="A164" s="32" t="str">
        <x:v>OBS0160</x:v>
      </x:c>
      <x:c r="B164" s="32"/>
      <x:c r="C164" s="34"/>
      <x:c r="D164" s="35"/>
      <x:c r="E164" s="32"/>
      <x:c r="F164" s="32"/>
      <x:c r="G164" s="32"/>
      <x:c r="H164" s="32"/>
      <x:c r="I164" s="32"/>
      <x:c r="J164" s="32"/>
      <x:c r="K164" s="36"/>
      <x:c r="L164" s="36"/>
      <x:c r="M164" s="36"/>
      <x:c r="N164" s="37"/>
      <x:c r="O164" s="37"/>
      <x:c r="P164" s="32"/>
      <x:c r="Q164" s="33" t="str">
        <x:f>IF(OR(B164="",C164="",F164="",I164=""),"",B164&amp;"|"&amp;TEXT(C164,"yyyy-mm-dd")&amp;"|"&amp;F164&amp;"|"&amp;I164)</x:f>
      </x:c>
      <x:c r="R164" s="38" t="str">
        <x:f>IF(OR(K164="",L164="",M164=""),"",SUM(K164:M164))</x:f>
      </x:c>
    </x:row>
    <x:row r="165">
      <x:c r="A165" s="32" t="str">
        <x:v>OBS0161</x:v>
      </x:c>
      <x:c r="B165" s="32"/>
      <x:c r="C165" s="34"/>
      <x:c r="D165" s="35"/>
      <x:c r="E165" s="32"/>
      <x:c r="F165" s="32"/>
      <x:c r="G165" s="32"/>
      <x:c r="H165" s="32"/>
      <x:c r="I165" s="32"/>
      <x:c r="J165" s="32"/>
      <x:c r="K165" s="36"/>
      <x:c r="L165" s="36"/>
      <x:c r="M165" s="36"/>
      <x:c r="N165" s="37"/>
      <x:c r="O165" s="37"/>
      <x:c r="P165" s="32"/>
      <x:c r="Q165" s="33" t="str">
        <x:f>IF(OR(B165="",C165="",F165="",I165=""),"",B165&amp;"|"&amp;TEXT(C165,"yyyy-mm-dd")&amp;"|"&amp;F165&amp;"|"&amp;I165)</x:f>
      </x:c>
      <x:c r="R165" s="38" t="str">
        <x:f>IF(OR(K165="",L165="",M165=""),"",SUM(K165:M165))</x:f>
      </x:c>
    </x:row>
    <x:row r="166">
      <x:c r="A166" s="32" t="str">
        <x:v>OBS0162</x:v>
      </x:c>
      <x:c r="B166" s="32"/>
      <x:c r="C166" s="34"/>
      <x:c r="D166" s="35"/>
      <x:c r="E166" s="32"/>
      <x:c r="F166" s="32"/>
      <x:c r="G166" s="32"/>
      <x:c r="H166" s="32"/>
      <x:c r="I166" s="32"/>
      <x:c r="J166" s="32"/>
      <x:c r="K166" s="36"/>
      <x:c r="L166" s="36"/>
      <x:c r="M166" s="36"/>
      <x:c r="N166" s="37"/>
      <x:c r="O166" s="37"/>
      <x:c r="P166" s="32"/>
      <x:c r="Q166" s="33" t="str">
        <x:f>IF(OR(B166="",C166="",F166="",I166=""),"",B166&amp;"|"&amp;TEXT(C166,"yyyy-mm-dd")&amp;"|"&amp;F166&amp;"|"&amp;I166)</x:f>
      </x:c>
      <x:c r="R166" s="38" t="str">
        <x:f>IF(OR(K166="",L166="",M166=""),"",SUM(K166:M166))</x:f>
      </x:c>
    </x:row>
    <x:row r="167">
      <x:c r="A167" s="32" t="str">
        <x:v>OBS0163</x:v>
      </x:c>
      <x:c r="B167" s="32"/>
      <x:c r="C167" s="34"/>
      <x:c r="D167" s="35"/>
      <x:c r="E167" s="32"/>
      <x:c r="F167" s="32"/>
      <x:c r="G167" s="32"/>
      <x:c r="H167" s="32"/>
      <x:c r="I167" s="32"/>
      <x:c r="J167" s="32"/>
      <x:c r="K167" s="36"/>
      <x:c r="L167" s="36"/>
      <x:c r="M167" s="36"/>
      <x:c r="N167" s="37"/>
      <x:c r="O167" s="37"/>
      <x:c r="P167" s="32"/>
      <x:c r="Q167" s="33" t="str">
        <x:f>IF(OR(B167="",C167="",F167="",I167=""),"",B167&amp;"|"&amp;TEXT(C167,"yyyy-mm-dd")&amp;"|"&amp;F167&amp;"|"&amp;I167)</x:f>
      </x:c>
      <x:c r="R167" s="38" t="str">
        <x:f>IF(OR(K167="",L167="",M167=""),"",SUM(K167:M167))</x:f>
      </x:c>
    </x:row>
    <x:row r="168">
      <x:c r="A168" s="32" t="str">
        <x:v>OBS0164</x:v>
      </x:c>
      <x:c r="B168" s="32"/>
      <x:c r="C168" s="34"/>
      <x:c r="D168" s="35"/>
      <x:c r="E168" s="32"/>
      <x:c r="F168" s="32"/>
      <x:c r="G168" s="32"/>
      <x:c r="H168" s="32"/>
      <x:c r="I168" s="32"/>
      <x:c r="J168" s="32"/>
      <x:c r="K168" s="36"/>
      <x:c r="L168" s="36"/>
      <x:c r="M168" s="36"/>
      <x:c r="N168" s="37"/>
      <x:c r="O168" s="37"/>
      <x:c r="P168" s="32"/>
      <x:c r="Q168" s="33" t="str">
        <x:f>IF(OR(B168="",C168="",F168="",I168=""),"",B168&amp;"|"&amp;TEXT(C168,"yyyy-mm-dd")&amp;"|"&amp;F168&amp;"|"&amp;I168)</x:f>
      </x:c>
      <x:c r="R168" s="38" t="str">
        <x:f>IF(OR(K168="",L168="",M168=""),"",SUM(K168:M168))</x:f>
      </x:c>
    </x:row>
    <x:row r="169">
      <x:c r="A169" s="32" t="str">
        <x:v>OBS0165</x:v>
      </x:c>
      <x:c r="B169" s="32"/>
      <x:c r="C169" s="34"/>
      <x:c r="D169" s="35"/>
      <x:c r="E169" s="32"/>
      <x:c r="F169" s="32"/>
      <x:c r="G169" s="32"/>
      <x:c r="H169" s="32"/>
      <x:c r="I169" s="32"/>
      <x:c r="J169" s="32"/>
      <x:c r="K169" s="36"/>
      <x:c r="L169" s="36"/>
      <x:c r="M169" s="36"/>
      <x:c r="N169" s="37"/>
      <x:c r="O169" s="37"/>
      <x:c r="P169" s="32"/>
      <x:c r="Q169" s="33" t="str">
        <x:f>IF(OR(B169="",C169="",F169="",I169=""),"",B169&amp;"|"&amp;TEXT(C169,"yyyy-mm-dd")&amp;"|"&amp;F169&amp;"|"&amp;I169)</x:f>
      </x:c>
      <x:c r="R169" s="38" t="str">
        <x:f>IF(OR(K169="",L169="",M169=""),"",SUM(K169:M169))</x:f>
      </x:c>
    </x:row>
    <x:row r="170">
      <x:c r="A170" s="32" t="str">
        <x:v>OBS0166</x:v>
      </x:c>
      <x:c r="B170" s="32"/>
      <x:c r="C170" s="34"/>
      <x:c r="D170" s="35"/>
      <x:c r="E170" s="32"/>
      <x:c r="F170" s="32"/>
      <x:c r="G170" s="32"/>
      <x:c r="H170" s="32"/>
      <x:c r="I170" s="32"/>
      <x:c r="J170" s="32"/>
      <x:c r="K170" s="36"/>
      <x:c r="L170" s="36"/>
      <x:c r="M170" s="36"/>
      <x:c r="N170" s="37"/>
      <x:c r="O170" s="37"/>
      <x:c r="P170" s="32"/>
      <x:c r="Q170" s="33" t="str">
        <x:f>IF(OR(B170="",C170="",F170="",I170=""),"",B170&amp;"|"&amp;TEXT(C170,"yyyy-mm-dd")&amp;"|"&amp;F170&amp;"|"&amp;I170)</x:f>
      </x:c>
      <x:c r="R170" s="38" t="str">
        <x:f>IF(OR(K170="",L170="",M170=""),"",SUM(K170:M170))</x:f>
      </x:c>
    </x:row>
    <x:row r="171">
      <x:c r="A171" s="32" t="str">
        <x:v>OBS0167</x:v>
      </x:c>
      <x:c r="B171" s="32"/>
      <x:c r="C171" s="34"/>
      <x:c r="D171" s="35"/>
      <x:c r="E171" s="32"/>
      <x:c r="F171" s="32"/>
      <x:c r="G171" s="32"/>
      <x:c r="H171" s="32"/>
      <x:c r="I171" s="32"/>
      <x:c r="J171" s="32"/>
      <x:c r="K171" s="36"/>
      <x:c r="L171" s="36"/>
      <x:c r="M171" s="36"/>
      <x:c r="N171" s="37"/>
      <x:c r="O171" s="37"/>
      <x:c r="P171" s="32"/>
      <x:c r="Q171" s="33" t="str">
        <x:f>IF(OR(B171="",C171="",F171="",I171=""),"",B171&amp;"|"&amp;TEXT(C171,"yyyy-mm-dd")&amp;"|"&amp;F171&amp;"|"&amp;I171)</x:f>
      </x:c>
      <x:c r="R171" s="38" t="str">
        <x:f>IF(OR(K171="",L171="",M171=""),"",SUM(K171:M171))</x:f>
      </x:c>
    </x:row>
    <x:row r="172">
      <x:c r="A172" s="32" t="str">
        <x:v>OBS0168</x:v>
      </x:c>
      <x:c r="B172" s="32"/>
      <x:c r="C172" s="34"/>
      <x:c r="D172" s="35"/>
      <x:c r="E172" s="32"/>
      <x:c r="F172" s="32"/>
      <x:c r="G172" s="32"/>
      <x:c r="H172" s="32"/>
      <x:c r="I172" s="32"/>
      <x:c r="J172" s="32"/>
      <x:c r="K172" s="36"/>
      <x:c r="L172" s="36"/>
      <x:c r="M172" s="36"/>
      <x:c r="N172" s="37"/>
      <x:c r="O172" s="37"/>
      <x:c r="P172" s="32"/>
      <x:c r="Q172" s="33" t="str">
        <x:f>IF(OR(B172="",C172="",F172="",I172=""),"",B172&amp;"|"&amp;TEXT(C172,"yyyy-mm-dd")&amp;"|"&amp;F172&amp;"|"&amp;I172)</x:f>
      </x:c>
      <x:c r="R172" s="38" t="str">
        <x:f>IF(OR(K172="",L172="",M172=""),"",SUM(K172:M172))</x:f>
      </x:c>
    </x:row>
    <x:row r="173">
      <x:c r="A173" s="32" t="str">
        <x:v>OBS0169</x:v>
      </x:c>
      <x:c r="B173" s="32"/>
      <x:c r="C173" s="34"/>
      <x:c r="D173" s="35"/>
      <x:c r="E173" s="32"/>
      <x:c r="F173" s="32"/>
      <x:c r="G173" s="32"/>
      <x:c r="H173" s="32"/>
      <x:c r="I173" s="32"/>
      <x:c r="J173" s="32"/>
      <x:c r="K173" s="36"/>
      <x:c r="L173" s="36"/>
      <x:c r="M173" s="36"/>
      <x:c r="N173" s="37"/>
      <x:c r="O173" s="37"/>
      <x:c r="P173" s="32"/>
      <x:c r="Q173" s="33" t="str">
        <x:f>IF(OR(B173="",C173="",F173="",I173=""),"",B173&amp;"|"&amp;TEXT(C173,"yyyy-mm-dd")&amp;"|"&amp;F173&amp;"|"&amp;I173)</x:f>
      </x:c>
      <x:c r="R173" s="38" t="str">
        <x:f>IF(OR(K173="",L173="",M173=""),"",SUM(K173:M173))</x:f>
      </x:c>
    </x:row>
    <x:row r="174">
      <x:c r="A174" s="32" t="str">
        <x:v>OBS0170</x:v>
      </x:c>
      <x:c r="B174" s="32"/>
      <x:c r="C174" s="34"/>
      <x:c r="D174" s="35"/>
      <x:c r="E174" s="32"/>
      <x:c r="F174" s="32"/>
      <x:c r="G174" s="32"/>
      <x:c r="H174" s="32"/>
      <x:c r="I174" s="32"/>
      <x:c r="J174" s="32"/>
      <x:c r="K174" s="36"/>
      <x:c r="L174" s="36"/>
      <x:c r="M174" s="36"/>
      <x:c r="N174" s="37"/>
      <x:c r="O174" s="37"/>
      <x:c r="P174" s="32"/>
      <x:c r="Q174" s="33" t="str">
        <x:f>IF(OR(B174="",C174="",F174="",I174=""),"",B174&amp;"|"&amp;TEXT(C174,"yyyy-mm-dd")&amp;"|"&amp;F174&amp;"|"&amp;I174)</x:f>
      </x:c>
      <x:c r="R174" s="38" t="str">
        <x:f>IF(OR(K174="",L174="",M174=""),"",SUM(K174:M174))</x:f>
      </x:c>
    </x:row>
    <x:row r="175">
      <x:c r="A175" s="32" t="str">
        <x:v>OBS0171</x:v>
      </x:c>
      <x:c r="B175" s="32"/>
      <x:c r="C175" s="34"/>
      <x:c r="D175" s="35"/>
      <x:c r="E175" s="32"/>
      <x:c r="F175" s="32"/>
      <x:c r="G175" s="32"/>
      <x:c r="H175" s="32"/>
      <x:c r="I175" s="32"/>
      <x:c r="J175" s="32"/>
      <x:c r="K175" s="36"/>
      <x:c r="L175" s="36"/>
      <x:c r="M175" s="36"/>
      <x:c r="N175" s="37"/>
      <x:c r="O175" s="37"/>
      <x:c r="P175" s="32"/>
      <x:c r="Q175" s="33" t="str">
        <x:f>IF(OR(B175="",C175="",F175="",I175=""),"",B175&amp;"|"&amp;TEXT(C175,"yyyy-mm-dd")&amp;"|"&amp;F175&amp;"|"&amp;I175)</x:f>
      </x:c>
      <x:c r="R175" s="38" t="str">
        <x:f>IF(OR(K175="",L175="",M175=""),"",SUM(K175:M175))</x:f>
      </x:c>
    </x:row>
    <x:row r="176">
      <x:c r="A176" s="32" t="str">
        <x:v>OBS0172</x:v>
      </x:c>
      <x:c r="B176" s="32"/>
      <x:c r="C176" s="34"/>
      <x:c r="D176" s="35"/>
      <x:c r="E176" s="32"/>
      <x:c r="F176" s="32"/>
      <x:c r="G176" s="32"/>
      <x:c r="H176" s="32"/>
      <x:c r="I176" s="32"/>
      <x:c r="J176" s="32"/>
      <x:c r="K176" s="36"/>
      <x:c r="L176" s="36"/>
      <x:c r="M176" s="36"/>
      <x:c r="N176" s="37"/>
      <x:c r="O176" s="37"/>
      <x:c r="P176" s="32"/>
      <x:c r="Q176" s="33" t="str">
        <x:f>IF(OR(B176="",C176="",F176="",I176=""),"",B176&amp;"|"&amp;TEXT(C176,"yyyy-mm-dd")&amp;"|"&amp;F176&amp;"|"&amp;I176)</x:f>
      </x:c>
      <x:c r="R176" s="38" t="str">
        <x:f>IF(OR(K176="",L176="",M176=""),"",SUM(K176:M176))</x:f>
      </x:c>
    </x:row>
    <x:row r="177">
      <x:c r="A177" s="32" t="str">
        <x:v>OBS0173</x:v>
      </x:c>
      <x:c r="B177" s="32"/>
      <x:c r="C177" s="34"/>
      <x:c r="D177" s="35"/>
      <x:c r="E177" s="32"/>
      <x:c r="F177" s="32"/>
      <x:c r="G177" s="32"/>
      <x:c r="H177" s="32"/>
      <x:c r="I177" s="32"/>
      <x:c r="J177" s="32"/>
      <x:c r="K177" s="36"/>
      <x:c r="L177" s="36"/>
      <x:c r="M177" s="36"/>
      <x:c r="N177" s="37"/>
      <x:c r="O177" s="37"/>
      <x:c r="P177" s="32"/>
      <x:c r="Q177" s="33" t="str">
        <x:f>IF(OR(B177="",C177="",F177="",I177=""),"",B177&amp;"|"&amp;TEXT(C177,"yyyy-mm-dd")&amp;"|"&amp;F177&amp;"|"&amp;I177)</x:f>
      </x:c>
      <x:c r="R177" s="38" t="str">
        <x:f>IF(OR(K177="",L177="",M177=""),"",SUM(K177:M177))</x:f>
      </x:c>
    </x:row>
    <x:row r="178">
      <x:c r="A178" s="32" t="str">
        <x:v>OBS0174</x:v>
      </x:c>
      <x:c r="B178" s="32"/>
      <x:c r="C178" s="34"/>
      <x:c r="D178" s="35"/>
      <x:c r="E178" s="32"/>
      <x:c r="F178" s="32"/>
      <x:c r="G178" s="32"/>
      <x:c r="H178" s="32"/>
      <x:c r="I178" s="32"/>
      <x:c r="J178" s="32"/>
      <x:c r="K178" s="36"/>
      <x:c r="L178" s="36"/>
      <x:c r="M178" s="36"/>
      <x:c r="N178" s="37"/>
      <x:c r="O178" s="37"/>
      <x:c r="P178" s="32"/>
      <x:c r="Q178" s="33" t="str">
        <x:f>IF(OR(B178="",C178="",F178="",I178=""),"",B178&amp;"|"&amp;TEXT(C178,"yyyy-mm-dd")&amp;"|"&amp;F178&amp;"|"&amp;I178)</x:f>
      </x:c>
      <x:c r="R178" s="38" t="str">
        <x:f>IF(OR(K178="",L178="",M178=""),"",SUM(K178:M178))</x:f>
      </x:c>
    </x:row>
    <x:row r="179">
      <x:c r="A179" s="32" t="str">
        <x:v>OBS0175</x:v>
      </x:c>
      <x:c r="B179" s="32"/>
      <x:c r="C179" s="34"/>
      <x:c r="D179" s="35"/>
      <x:c r="E179" s="32"/>
      <x:c r="F179" s="32"/>
      <x:c r="G179" s="32"/>
      <x:c r="H179" s="32"/>
      <x:c r="I179" s="32"/>
      <x:c r="J179" s="32"/>
      <x:c r="K179" s="36"/>
      <x:c r="L179" s="36"/>
      <x:c r="M179" s="36"/>
      <x:c r="N179" s="37"/>
      <x:c r="O179" s="37"/>
      <x:c r="P179" s="32"/>
      <x:c r="Q179" s="33" t="str">
        <x:f>IF(OR(B179="",C179="",F179="",I179=""),"",B179&amp;"|"&amp;TEXT(C179,"yyyy-mm-dd")&amp;"|"&amp;F179&amp;"|"&amp;I179)</x:f>
      </x:c>
      <x:c r="R179" s="38" t="str">
        <x:f>IF(OR(K179="",L179="",M179=""),"",SUM(K179:M179))</x:f>
      </x:c>
    </x:row>
    <x:row r="180">
      <x:c r="A180" s="32" t="str">
        <x:v>OBS0176</x:v>
      </x:c>
      <x:c r="B180" s="32"/>
      <x:c r="C180" s="34"/>
      <x:c r="D180" s="35"/>
      <x:c r="E180" s="32"/>
      <x:c r="F180" s="32"/>
      <x:c r="G180" s="32"/>
      <x:c r="H180" s="32"/>
      <x:c r="I180" s="32"/>
      <x:c r="J180" s="32"/>
      <x:c r="K180" s="36"/>
      <x:c r="L180" s="36"/>
      <x:c r="M180" s="36"/>
      <x:c r="N180" s="37"/>
      <x:c r="O180" s="37"/>
      <x:c r="P180" s="32"/>
      <x:c r="Q180" s="33" t="str">
        <x:f>IF(OR(B180="",C180="",F180="",I180=""),"",B180&amp;"|"&amp;TEXT(C180,"yyyy-mm-dd")&amp;"|"&amp;F180&amp;"|"&amp;I180)</x:f>
      </x:c>
      <x:c r="R180" s="38" t="str">
        <x:f>IF(OR(K180="",L180="",M180=""),"",SUM(K180:M180))</x:f>
      </x:c>
    </x:row>
    <x:row r="181">
      <x:c r="A181" s="32" t="str">
        <x:v>OBS0177</x:v>
      </x:c>
      <x:c r="B181" s="32"/>
      <x:c r="C181" s="34"/>
      <x:c r="D181" s="35"/>
      <x:c r="E181" s="32"/>
      <x:c r="F181" s="32"/>
      <x:c r="G181" s="32"/>
      <x:c r="H181" s="32"/>
      <x:c r="I181" s="32"/>
      <x:c r="J181" s="32"/>
      <x:c r="K181" s="36"/>
      <x:c r="L181" s="36"/>
      <x:c r="M181" s="36"/>
      <x:c r="N181" s="37"/>
      <x:c r="O181" s="37"/>
      <x:c r="P181" s="32"/>
      <x:c r="Q181" s="33" t="str">
        <x:f>IF(OR(B181="",C181="",F181="",I181=""),"",B181&amp;"|"&amp;TEXT(C181,"yyyy-mm-dd")&amp;"|"&amp;F181&amp;"|"&amp;I181)</x:f>
      </x:c>
      <x:c r="R181" s="38" t="str">
        <x:f>IF(OR(K181="",L181="",M181=""),"",SUM(K181:M181))</x:f>
      </x:c>
    </x:row>
    <x:row r="182">
      <x:c r="A182" s="32" t="str">
        <x:v>OBS0178</x:v>
      </x:c>
      <x:c r="B182" s="32"/>
      <x:c r="C182" s="34"/>
      <x:c r="D182" s="35"/>
      <x:c r="E182" s="32"/>
      <x:c r="F182" s="32"/>
      <x:c r="G182" s="32"/>
      <x:c r="H182" s="32"/>
      <x:c r="I182" s="32"/>
      <x:c r="J182" s="32"/>
      <x:c r="K182" s="36"/>
      <x:c r="L182" s="36"/>
      <x:c r="M182" s="36"/>
      <x:c r="N182" s="37"/>
      <x:c r="O182" s="37"/>
      <x:c r="P182" s="32"/>
      <x:c r="Q182" s="33" t="str">
        <x:f>IF(OR(B182="",C182="",F182="",I182=""),"",B182&amp;"|"&amp;TEXT(C182,"yyyy-mm-dd")&amp;"|"&amp;F182&amp;"|"&amp;I182)</x:f>
      </x:c>
      <x:c r="R182" s="38" t="str">
        <x:f>IF(OR(K182="",L182="",M182=""),"",SUM(K182:M182))</x:f>
      </x:c>
    </x:row>
    <x:row r="183">
      <x:c r="A183" s="32" t="str">
        <x:v>OBS0179</x:v>
      </x:c>
      <x:c r="B183" s="32"/>
      <x:c r="C183" s="34"/>
      <x:c r="D183" s="35"/>
      <x:c r="E183" s="32"/>
      <x:c r="F183" s="32"/>
      <x:c r="G183" s="32"/>
      <x:c r="H183" s="32"/>
      <x:c r="I183" s="32"/>
      <x:c r="J183" s="32"/>
      <x:c r="K183" s="36"/>
      <x:c r="L183" s="36"/>
      <x:c r="M183" s="36"/>
      <x:c r="N183" s="37"/>
      <x:c r="O183" s="37"/>
      <x:c r="P183" s="32"/>
      <x:c r="Q183" s="33" t="str">
        <x:f>IF(OR(B183="",C183="",F183="",I183=""),"",B183&amp;"|"&amp;TEXT(C183,"yyyy-mm-dd")&amp;"|"&amp;F183&amp;"|"&amp;I183)</x:f>
      </x:c>
      <x:c r="R183" s="38" t="str">
        <x:f>IF(OR(K183="",L183="",M183=""),"",SUM(K183:M183))</x:f>
      </x:c>
    </x:row>
    <x:row r="184">
      <x:c r="A184" s="32" t="str">
        <x:v>OBS0180</x:v>
      </x:c>
      <x:c r="B184" s="32"/>
      <x:c r="C184" s="34"/>
      <x:c r="D184" s="35"/>
      <x:c r="E184" s="32"/>
      <x:c r="F184" s="32"/>
      <x:c r="G184" s="32"/>
      <x:c r="H184" s="32"/>
      <x:c r="I184" s="32"/>
      <x:c r="J184" s="32"/>
      <x:c r="K184" s="36"/>
      <x:c r="L184" s="36"/>
      <x:c r="M184" s="36"/>
      <x:c r="N184" s="37"/>
      <x:c r="O184" s="37"/>
      <x:c r="P184" s="32"/>
      <x:c r="Q184" s="33" t="str">
        <x:f>IF(OR(B184="",C184="",F184="",I184=""),"",B184&amp;"|"&amp;TEXT(C184,"yyyy-mm-dd")&amp;"|"&amp;F184&amp;"|"&amp;I184)</x:f>
      </x:c>
      <x:c r="R184" s="38" t="str">
        <x:f>IF(OR(K184="",L184="",M184=""),"",SUM(K184:M184))</x:f>
      </x:c>
    </x:row>
    <x:row r="185">
      <x:c r="A185" s="32" t="str">
        <x:v>OBS0181</x:v>
      </x:c>
      <x:c r="B185" s="32"/>
      <x:c r="C185" s="34"/>
      <x:c r="D185" s="35"/>
      <x:c r="E185" s="32"/>
      <x:c r="F185" s="32"/>
      <x:c r="G185" s="32"/>
      <x:c r="H185" s="32"/>
      <x:c r="I185" s="32"/>
      <x:c r="J185" s="32"/>
      <x:c r="K185" s="36"/>
      <x:c r="L185" s="36"/>
      <x:c r="M185" s="36"/>
      <x:c r="N185" s="37"/>
      <x:c r="O185" s="37"/>
      <x:c r="P185" s="32"/>
      <x:c r="Q185" s="33" t="str">
        <x:f>IF(OR(B185="",C185="",F185="",I185=""),"",B185&amp;"|"&amp;TEXT(C185,"yyyy-mm-dd")&amp;"|"&amp;F185&amp;"|"&amp;I185)</x:f>
      </x:c>
      <x:c r="R185" s="38" t="str">
        <x:f>IF(OR(K185="",L185="",M185=""),"",SUM(K185:M185))</x:f>
      </x:c>
    </x:row>
    <x:row r="186">
      <x:c r="A186" s="32" t="str">
        <x:v>OBS0182</x:v>
      </x:c>
      <x:c r="B186" s="32"/>
      <x:c r="C186" s="34"/>
      <x:c r="D186" s="35"/>
      <x:c r="E186" s="32"/>
      <x:c r="F186" s="32"/>
      <x:c r="G186" s="32"/>
      <x:c r="H186" s="32"/>
      <x:c r="I186" s="32"/>
      <x:c r="J186" s="32"/>
      <x:c r="K186" s="36"/>
      <x:c r="L186" s="36"/>
      <x:c r="M186" s="36"/>
      <x:c r="N186" s="37"/>
      <x:c r="O186" s="37"/>
      <x:c r="P186" s="32"/>
      <x:c r="Q186" s="33" t="str">
        <x:f>IF(OR(B186="",C186="",F186="",I186=""),"",B186&amp;"|"&amp;TEXT(C186,"yyyy-mm-dd")&amp;"|"&amp;F186&amp;"|"&amp;I186)</x:f>
      </x:c>
      <x:c r="R186" s="38" t="str">
        <x:f>IF(OR(K186="",L186="",M186=""),"",SUM(K186:M186))</x:f>
      </x:c>
    </x:row>
    <x:row r="187">
      <x:c r="A187" s="32" t="str">
        <x:v>OBS0183</x:v>
      </x:c>
      <x:c r="B187" s="32"/>
      <x:c r="C187" s="34"/>
      <x:c r="D187" s="35"/>
      <x:c r="E187" s="32"/>
      <x:c r="F187" s="32"/>
      <x:c r="G187" s="32"/>
      <x:c r="H187" s="32"/>
      <x:c r="I187" s="32"/>
      <x:c r="J187" s="32"/>
      <x:c r="K187" s="36"/>
      <x:c r="L187" s="36"/>
      <x:c r="M187" s="36"/>
      <x:c r="N187" s="37"/>
      <x:c r="O187" s="37"/>
      <x:c r="P187" s="32"/>
      <x:c r="Q187" s="33" t="str">
        <x:f>IF(OR(B187="",C187="",F187="",I187=""),"",B187&amp;"|"&amp;TEXT(C187,"yyyy-mm-dd")&amp;"|"&amp;F187&amp;"|"&amp;I187)</x:f>
      </x:c>
      <x:c r="R187" s="38" t="str">
        <x:f>IF(OR(K187="",L187="",M187=""),"",SUM(K187:M187))</x:f>
      </x:c>
    </x:row>
    <x:row r="188">
      <x:c r="A188" s="32" t="str">
        <x:v>OBS0184</x:v>
      </x:c>
      <x:c r="B188" s="32"/>
      <x:c r="C188" s="34"/>
      <x:c r="D188" s="35"/>
      <x:c r="E188" s="32"/>
      <x:c r="F188" s="32"/>
      <x:c r="G188" s="32"/>
      <x:c r="H188" s="32"/>
      <x:c r="I188" s="32"/>
      <x:c r="J188" s="32"/>
      <x:c r="K188" s="36"/>
      <x:c r="L188" s="36"/>
      <x:c r="M188" s="36"/>
      <x:c r="N188" s="37"/>
      <x:c r="O188" s="37"/>
      <x:c r="P188" s="32"/>
      <x:c r="Q188" s="33" t="str">
        <x:f>IF(OR(B188="",C188="",F188="",I188=""),"",B188&amp;"|"&amp;TEXT(C188,"yyyy-mm-dd")&amp;"|"&amp;F188&amp;"|"&amp;I188)</x:f>
      </x:c>
      <x:c r="R188" s="38" t="str">
        <x:f>IF(OR(K188="",L188="",M188=""),"",SUM(K188:M188))</x:f>
      </x:c>
    </x:row>
    <x:row r="189">
      <x:c r="A189" s="32" t="str">
        <x:v>OBS0185</x:v>
      </x:c>
      <x:c r="B189" s="32"/>
      <x:c r="C189" s="34"/>
      <x:c r="D189" s="35"/>
      <x:c r="E189" s="32"/>
      <x:c r="F189" s="32"/>
      <x:c r="G189" s="32"/>
      <x:c r="H189" s="32"/>
      <x:c r="I189" s="32"/>
      <x:c r="J189" s="32"/>
      <x:c r="K189" s="36"/>
      <x:c r="L189" s="36"/>
      <x:c r="M189" s="36"/>
      <x:c r="N189" s="37"/>
      <x:c r="O189" s="37"/>
      <x:c r="P189" s="32"/>
      <x:c r="Q189" s="33" t="str">
        <x:f>IF(OR(B189="",C189="",F189="",I189=""),"",B189&amp;"|"&amp;TEXT(C189,"yyyy-mm-dd")&amp;"|"&amp;F189&amp;"|"&amp;I189)</x:f>
      </x:c>
      <x:c r="R189" s="38" t="str">
        <x:f>IF(OR(K189="",L189="",M189=""),"",SUM(K189:M189))</x:f>
      </x:c>
    </x:row>
    <x:row r="190">
      <x:c r="A190" s="32" t="str">
        <x:v>OBS0186</x:v>
      </x:c>
      <x:c r="B190" s="32"/>
      <x:c r="C190" s="34"/>
      <x:c r="D190" s="35"/>
      <x:c r="E190" s="32"/>
      <x:c r="F190" s="32"/>
      <x:c r="G190" s="32"/>
      <x:c r="H190" s="32"/>
      <x:c r="I190" s="32"/>
      <x:c r="J190" s="32"/>
      <x:c r="K190" s="36"/>
      <x:c r="L190" s="36"/>
      <x:c r="M190" s="36"/>
      <x:c r="N190" s="37"/>
      <x:c r="O190" s="37"/>
      <x:c r="P190" s="32"/>
      <x:c r="Q190" s="33" t="str">
        <x:f>IF(OR(B190="",C190="",F190="",I190=""),"",B190&amp;"|"&amp;TEXT(C190,"yyyy-mm-dd")&amp;"|"&amp;F190&amp;"|"&amp;I190)</x:f>
      </x:c>
      <x:c r="R190" s="38" t="str">
        <x:f>IF(OR(K190="",L190="",M190=""),"",SUM(K190:M190))</x:f>
      </x:c>
    </x:row>
    <x:row r="191">
      <x:c r="A191" s="32" t="str">
        <x:v>OBS0187</x:v>
      </x:c>
      <x:c r="B191" s="32"/>
      <x:c r="C191" s="34"/>
      <x:c r="D191" s="35"/>
      <x:c r="E191" s="32"/>
      <x:c r="F191" s="32"/>
      <x:c r="G191" s="32"/>
      <x:c r="H191" s="32"/>
      <x:c r="I191" s="32"/>
      <x:c r="J191" s="32"/>
      <x:c r="K191" s="36"/>
      <x:c r="L191" s="36"/>
      <x:c r="M191" s="36"/>
      <x:c r="N191" s="37"/>
      <x:c r="O191" s="37"/>
      <x:c r="P191" s="32"/>
      <x:c r="Q191" s="33" t="str">
        <x:f>IF(OR(B191="",C191="",F191="",I191=""),"",B191&amp;"|"&amp;TEXT(C191,"yyyy-mm-dd")&amp;"|"&amp;F191&amp;"|"&amp;I191)</x:f>
      </x:c>
      <x:c r="R191" s="38" t="str">
        <x:f>IF(OR(K191="",L191="",M191=""),"",SUM(K191:M191))</x:f>
      </x:c>
    </x:row>
    <x:row r="192">
      <x:c r="A192" s="32" t="str">
        <x:v>OBS0188</x:v>
      </x:c>
      <x:c r="B192" s="32"/>
      <x:c r="C192" s="34"/>
      <x:c r="D192" s="35"/>
      <x:c r="E192" s="32"/>
      <x:c r="F192" s="32"/>
      <x:c r="G192" s="32"/>
      <x:c r="H192" s="32"/>
      <x:c r="I192" s="32"/>
      <x:c r="J192" s="32"/>
      <x:c r="K192" s="36"/>
      <x:c r="L192" s="36"/>
      <x:c r="M192" s="36"/>
      <x:c r="N192" s="37"/>
      <x:c r="O192" s="37"/>
      <x:c r="P192" s="32"/>
      <x:c r="Q192" s="33" t="str">
        <x:f>IF(OR(B192="",C192="",F192="",I192=""),"",B192&amp;"|"&amp;TEXT(C192,"yyyy-mm-dd")&amp;"|"&amp;F192&amp;"|"&amp;I192)</x:f>
      </x:c>
      <x:c r="R192" s="38" t="str">
        <x:f>IF(OR(K192="",L192="",M192=""),"",SUM(K192:M192))</x:f>
      </x:c>
    </x:row>
    <x:row r="193">
      <x:c r="A193" s="32" t="str">
        <x:v>OBS0189</x:v>
      </x:c>
      <x:c r="B193" s="32"/>
      <x:c r="C193" s="34"/>
      <x:c r="D193" s="35"/>
      <x:c r="E193" s="32"/>
      <x:c r="F193" s="32"/>
      <x:c r="G193" s="32"/>
      <x:c r="H193" s="32"/>
      <x:c r="I193" s="32"/>
      <x:c r="J193" s="32"/>
      <x:c r="K193" s="36"/>
      <x:c r="L193" s="36"/>
      <x:c r="M193" s="36"/>
      <x:c r="N193" s="37"/>
      <x:c r="O193" s="37"/>
      <x:c r="P193" s="32"/>
      <x:c r="Q193" s="33" t="str">
        <x:f>IF(OR(B193="",C193="",F193="",I193=""),"",B193&amp;"|"&amp;TEXT(C193,"yyyy-mm-dd")&amp;"|"&amp;F193&amp;"|"&amp;I193)</x:f>
      </x:c>
      <x:c r="R193" s="38" t="str">
        <x:f>IF(OR(K193="",L193="",M193=""),"",SUM(K193:M193))</x:f>
      </x:c>
    </x:row>
    <x:row r="194">
      <x:c r="A194" s="32" t="str">
        <x:v>OBS0190</x:v>
      </x:c>
      <x:c r="B194" s="32"/>
      <x:c r="C194" s="34"/>
      <x:c r="D194" s="35"/>
      <x:c r="E194" s="32"/>
      <x:c r="F194" s="32"/>
      <x:c r="G194" s="32"/>
      <x:c r="H194" s="32"/>
      <x:c r="I194" s="32"/>
      <x:c r="J194" s="32"/>
      <x:c r="K194" s="36"/>
      <x:c r="L194" s="36"/>
      <x:c r="M194" s="36"/>
      <x:c r="N194" s="37"/>
      <x:c r="O194" s="37"/>
      <x:c r="P194" s="32"/>
      <x:c r="Q194" s="33" t="str">
        <x:f>IF(OR(B194="",C194="",F194="",I194=""),"",B194&amp;"|"&amp;TEXT(C194,"yyyy-mm-dd")&amp;"|"&amp;F194&amp;"|"&amp;I194)</x:f>
      </x:c>
      <x:c r="R194" s="38" t="str">
        <x:f>IF(OR(K194="",L194="",M194=""),"",SUM(K194:M194))</x:f>
      </x:c>
    </x:row>
    <x:row r="195">
      <x:c r="A195" s="32" t="str">
        <x:v>OBS0191</x:v>
      </x:c>
      <x:c r="B195" s="32"/>
      <x:c r="C195" s="34"/>
      <x:c r="D195" s="35"/>
      <x:c r="E195" s="32"/>
      <x:c r="F195" s="32"/>
      <x:c r="G195" s="32"/>
      <x:c r="H195" s="32"/>
      <x:c r="I195" s="32"/>
      <x:c r="J195" s="32"/>
      <x:c r="K195" s="36"/>
      <x:c r="L195" s="36"/>
      <x:c r="M195" s="36"/>
      <x:c r="N195" s="37"/>
      <x:c r="O195" s="37"/>
      <x:c r="P195" s="32"/>
      <x:c r="Q195" s="33" t="str">
        <x:f>IF(OR(B195="",C195="",F195="",I195=""),"",B195&amp;"|"&amp;TEXT(C195,"yyyy-mm-dd")&amp;"|"&amp;F195&amp;"|"&amp;I195)</x:f>
      </x:c>
      <x:c r="R195" s="38" t="str">
        <x:f>IF(OR(K195="",L195="",M195=""),"",SUM(K195:M195))</x:f>
      </x:c>
    </x:row>
    <x:row r="196">
      <x:c r="A196" s="32" t="str">
        <x:v>OBS0192</x:v>
      </x:c>
      <x:c r="B196" s="32"/>
      <x:c r="C196" s="34"/>
      <x:c r="D196" s="35"/>
      <x:c r="E196" s="32"/>
      <x:c r="F196" s="32"/>
      <x:c r="G196" s="32"/>
      <x:c r="H196" s="32"/>
      <x:c r="I196" s="32"/>
      <x:c r="J196" s="32"/>
      <x:c r="K196" s="36"/>
      <x:c r="L196" s="36"/>
      <x:c r="M196" s="36"/>
      <x:c r="N196" s="37"/>
      <x:c r="O196" s="37"/>
      <x:c r="P196" s="32"/>
      <x:c r="Q196" s="33" t="str">
        <x:f>IF(OR(B196="",C196="",F196="",I196=""),"",B196&amp;"|"&amp;TEXT(C196,"yyyy-mm-dd")&amp;"|"&amp;F196&amp;"|"&amp;I196)</x:f>
      </x:c>
      <x:c r="R196" s="38" t="str">
        <x:f>IF(OR(K196="",L196="",M196=""),"",SUM(K196:M196))</x:f>
      </x:c>
    </x:row>
    <x:row r="197">
      <x:c r="A197" s="32" t="str">
        <x:v>OBS0193</x:v>
      </x:c>
      <x:c r="B197" s="32"/>
      <x:c r="C197" s="34"/>
      <x:c r="D197" s="35"/>
      <x:c r="E197" s="32"/>
      <x:c r="F197" s="32"/>
      <x:c r="G197" s="32"/>
      <x:c r="H197" s="32"/>
      <x:c r="I197" s="32"/>
      <x:c r="J197" s="32"/>
      <x:c r="K197" s="36"/>
      <x:c r="L197" s="36"/>
      <x:c r="M197" s="36"/>
      <x:c r="N197" s="37"/>
      <x:c r="O197" s="37"/>
      <x:c r="P197" s="32"/>
      <x:c r="Q197" s="33" t="str">
        <x:f>IF(OR(B197="",C197="",F197="",I197=""),"",B197&amp;"|"&amp;TEXT(C197,"yyyy-mm-dd")&amp;"|"&amp;F197&amp;"|"&amp;I197)</x:f>
      </x:c>
      <x:c r="R197" s="38" t="str">
        <x:f>IF(OR(K197="",L197="",M197=""),"",SUM(K197:M197))</x:f>
      </x:c>
    </x:row>
    <x:row r="198">
      <x:c r="A198" s="32" t="str">
        <x:v>OBS0194</x:v>
      </x:c>
      <x:c r="B198" s="32"/>
      <x:c r="C198" s="34"/>
      <x:c r="D198" s="35"/>
      <x:c r="E198" s="32"/>
      <x:c r="F198" s="32"/>
      <x:c r="G198" s="32"/>
      <x:c r="H198" s="32"/>
      <x:c r="I198" s="32"/>
      <x:c r="J198" s="32"/>
      <x:c r="K198" s="36"/>
      <x:c r="L198" s="36"/>
      <x:c r="M198" s="36"/>
      <x:c r="N198" s="37"/>
      <x:c r="O198" s="37"/>
      <x:c r="P198" s="32"/>
      <x:c r="Q198" s="33" t="str">
        <x:f>IF(OR(B198="",C198="",F198="",I198=""),"",B198&amp;"|"&amp;TEXT(C198,"yyyy-mm-dd")&amp;"|"&amp;F198&amp;"|"&amp;I198)</x:f>
      </x:c>
      <x:c r="R198" s="38" t="str">
        <x:f>IF(OR(K198="",L198="",M198=""),"",SUM(K198:M198))</x:f>
      </x:c>
    </x:row>
    <x:row r="199">
      <x:c r="A199" s="32" t="str">
        <x:v>OBS0195</x:v>
      </x:c>
      <x:c r="B199" s="32"/>
      <x:c r="C199" s="34"/>
      <x:c r="D199" s="35"/>
      <x:c r="E199" s="32"/>
      <x:c r="F199" s="32"/>
      <x:c r="G199" s="32"/>
      <x:c r="H199" s="32"/>
      <x:c r="I199" s="32"/>
      <x:c r="J199" s="32"/>
      <x:c r="K199" s="36"/>
      <x:c r="L199" s="36"/>
      <x:c r="M199" s="36"/>
      <x:c r="N199" s="37"/>
      <x:c r="O199" s="37"/>
      <x:c r="P199" s="32"/>
      <x:c r="Q199" s="33" t="str">
        <x:f>IF(OR(B199="",C199="",F199="",I199=""),"",B199&amp;"|"&amp;TEXT(C199,"yyyy-mm-dd")&amp;"|"&amp;F199&amp;"|"&amp;I199)</x:f>
      </x:c>
      <x:c r="R199" s="38" t="str">
        <x:f>IF(OR(K199="",L199="",M199=""),"",SUM(K199:M199))</x:f>
      </x:c>
    </x:row>
    <x:row r="200">
      <x:c r="A200" s="32" t="str">
        <x:v>OBS0196</x:v>
      </x:c>
      <x:c r="B200" s="32"/>
      <x:c r="C200" s="34"/>
      <x:c r="D200" s="35"/>
      <x:c r="E200" s="32"/>
      <x:c r="F200" s="32"/>
      <x:c r="G200" s="32"/>
      <x:c r="H200" s="32"/>
      <x:c r="I200" s="32"/>
      <x:c r="J200" s="32"/>
      <x:c r="K200" s="36"/>
      <x:c r="L200" s="36"/>
      <x:c r="M200" s="36"/>
      <x:c r="N200" s="37"/>
      <x:c r="O200" s="37"/>
      <x:c r="P200" s="32"/>
      <x:c r="Q200" s="33" t="str">
        <x:f>IF(OR(B200="",C200="",F200="",I200=""),"",B200&amp;"|"&amp;TEXT(C200,"yyyy-mm-dd")&amp;"|"&amp;F200&amp;"|"&amp;I200)</x:f>
      </x:c>
      <x:c r="R200" s="38" t="str">
        <x:f>IF(OR(K200="",L200="",M200=""),"",SUM(K200:M200))</x:f>
      </x:c>
    </x:row>
    <x:row r="201">
      <x:c r="A201" s="32" t="str">
        <x:v>OBS0197</x:v>
      </x:c>
      <x:c r="B201" s="32"/>
      <x:c r="C201" s="34"/>
      <x:c r="D201" s="35"/>
      <x:c r="E201" s="32"/>
      <x:c r="F201" s="32"/>
      <x:c r="G201" s="32"/>
      <x:c r="H201" s="32"/>
      <x:c r="I201" s="32"/>
      <x:c r="J201" s="32"/>
      <x:c r="K201" s="36"/>
      <x:c r="L201" s="36"/>
      <x:c r="M201" s="36"/>
      <x:c r="N201" s="37"/>
      <x:c r="O201" s="37"/>
      <x:c r="P201" s="32"/>
      <x:c r="Q201" s="33" t="str">
        <x:f>IF(OR(B201="",C201="",F201="",I201=""),"",B201&amp;"|"&amp;TEXT(C201,"yyyy-mm-dd")&amp;"|"&amp;F201&amp;"|"&amp;I201)</x:f>
      </x:c>
      <x:c r="R201" s="38" t="str">
        <x:f>IF(OR(K201="",L201="",M201=""),"",SUM(K201:M201))</x:f>
      </x:c>
    </x:row>
    <x:row r="202">
      <x:c r="A202" s="32" t="str">
        <x:v>OBS0198</x:v>
      </x:c>
      <x:c r="B202" s="32"/>
      <x:c r="C202" s="34"/>
      <x:c r="D202" s="35"/>
      <x:c r="E202" s="32"/>
      <x:c r="F202" s="32"/>
      <x:c r="G202" s="32"/>
      <x:c r="H202" s="32"/>
      <x:c r="I202" s="32"/>
      <x:c r="J202" s="32"/>
      <x:c r="K202" s="36"/>
      <x:c r="L202" s="36"/>
      <x:c r="M202" s="36"/>
      <x:c r="N202" s="37"/>
      <x:c r="O202" s="37"/>
      <x:c r="P202" s="32"/>
      <x:c r="Q202" s="33" t="str">
        <x:f>IF(OR(B202="",C202="",F202="",I202=""),"",B202&amp;"|"&amp;TEXT(C202,"yyyy-mm-dd")&amp;"|"&amp;F202&amp;"|"&amp;I202)</x:f>
      </x:c>
      <x:c r="R202" s="38" t="str">
        <x:f>IF(OR(K202="",L202="",M202=""),"",SUM(K202:M202))</x:f>
      </x:c>
    </x:row>
    <x:row r="203">
      <x:c r="A203" s="32" t="str">
        <x:v>OBS0199</x:v>
      </x:c>
      <x:c r="B203" s="32"/>
      <x:c r="C203" s="34"/>
      <x:c r="D203" s="35"/>
      <x:c r="E203" s="32"/>
      <x:c r="F203" s="32"/>
      <x:c r="G203" s="32"/>
      <x:c r="H203" s="32"/>
      <x:c r="I203" s="32"/>
      <x:c r="J203" s="32"/>
      <x:c r="K203" s="36"/>
      <x:c r="L203" s="36"/>
      <x:c r="M203" s="36"/>
      <x:c r="N203" s="37"/>
      <x:c r="O203" s="37"/>
      <x:c r="P203" s="32"/>
      <x:c r="Q203" s="33" t="str">
        <x:f>IF(OR(B203="",C203="",F203="",I203=""),"",B203&amp;"|"&amp;TEXT(C203,"yyyy-mm-dd")&amp;"|"&amp;F203&amp;"|"&amp;I203)</x:f>
      </x:c>
      <x:c r="R203" s="38" t="str">
        <x:f>IF(OR(K203="",L203="",M203=""),"",SUM(K203:M203))</x:f>
      </x:c>
    </x:row>
    <x:row r="204">
      <x:c r="A204" s="32" t="str">
        <x:v>OBS0200</x:v>
      </x:c>
      <x:c r="B204" s="32"/>
      <x:c r="C204" s="34"/>
      <x:c r="D204" s="35"/>
      <x:c r="E204" s="32"/>
      <x:c r="F204" s="32"/>
      <x:c r="G204" s="32"/>
      <x:c r="H204" s="32"/>
      <x:c r="I204" s="32"/>
      <x:c r="J204" s="32"/>
      <x:c r="K204" s="36"/>
      <x:c r="L204" s="36"/>
      <x:c r="M204" s="36"/>
      <x:c r="N204" s="37"/>
      <x:c r="O204" s="37"/>
      <x:c r="P204" s="32"/>
      <x:c r="Q204" s="33" t="str">
        <x:f>IF(OR(B204="",C204="",F204="",I204=""),"",B204&amp;"|"&amp;TEXT(C204,"yyyy-mm-dd")&amp;"|"&amp;F204&amp;"|"&amp;I204)</x:f>
      </x:c>
      <x:c r="R204" s="38" t="str">
        <x:f>IF(OR(K204="",L204="",M204=""),"",SUM(K204:M204))</x:f>
      </x:c>
    </x:row>
    <x:row r="205">
      <x:c r="A205" s="32" t="str">
        <x:v>OBS0201</x:v>
      </x:c>
      <x:c r="B205" s="32"/>
      <x:c r="C205" s="34"/>
      <x:c r="D205" s="35"/>
      <x:c r="E205" s="32"/>
      <x:c r="F205" s="32"/>
      <x:c r="G205" s="32"/>
      <x:c r="H205" s="32"/>
      <x:c r="I205" s="32"/>
      <x:c r="J205" s="32"/>
      <x:c r="K205" s="36"/>
      <x:c r="L205" s="36"/>
      <x:c r="M205" s="36"/>
      <x:c r="N205" s="37"/>
      <x:c r="O205" s="37"/>
      <x:c r="P205" s="32"/>
      <x:c r="Q205" s="33" t="str">
        <x:f>IF(OR(B205="",C205="",F205="",I205=""),"",B205&amp;"|"&amp;TEXT(C205,"yyyy-mm-dd")&amp;"|"&amp;F205&amp;"|"&amp;I205)</x:f>
      </x:c>
      <x:c r="R205" s="38" t="str">
        <x:f>IF(OR(K205="",L205="",M205=""),"",SUM(K205:M205))</x:f>
      </x:c>
    </x:row>
    <x:row r="206">
      <x:c r="A206" s="32" t="str">
        <x:v>OBS0202</x:v>
      </x:c>
      <x:c r="B206" s="32"/>
      <x:c r="C206" s="34"/>
      <x:c r="D206" s="35"/>
      <x:c r="E206" s="32"/>
      <x:c r="F206" s="32"/>
      <x:c r="G206" s="32"/>
      <x:c r="H206" s="32"/>
      <x:c r="I206" s="32"/>
      <x:c r="J206" s="32"/>
      <x:c r="K206" s="36"/>
      <x:c r="L206" s="36"/>
      <x:c r="M206" s="36"/>
      <x:c r="N206" s="37"/>
      <x:c r="O206" s="37"/>
      <x:c r="P206" s="32"/>
      <x:c r="Q206" s="33" t="str">
        <x:f>IF(OR(B206="",C206="",F206="",I206=""),"",B206&amp;"|"&amp;TEXT(C206,"yyyy-mm-dd")&amp;"|"&amp;F206&amp;"|"&amp;I206)</x:f>
      </x:c>
      <x:c r="R206" s="38" t="str">
        <x:f>IF(OR(K206="",L206="",M206=""),"",SUM(K206:M206))</x:f>
      </x:c>
    </x:row>
    <x:row r="207">
      <x:c r="A207" s="32" t="str">
        <x:v>OBS0203</x:v>
      </x:c>
      <x:c r="B207" s="32"/>
      <x:c r="C207" s="34"/>
      <x:c r="D207" s="35"/>
      <x:c r="E207" s="32"/>
      <x:c r="F207" s="32"/>
      <x:c r="G207" s="32"/>
      <x:c r="H207" s="32"/>
      <x:c r="I207" s="32"/>
      <x:c r="J207" s="32"/>
      <x:c r="K207" s="36"/>
      <x:c r="L207" s="36"/>
      <x:c r="M207" s="36"/>
      <x:c r="N207" s="37"/>
      <x:c r="O207" s="37"/>
      <x:c r="P207" s="32"/>
      <x:c r="Q207" s="33" t="str">
        <x:f>IF(OR(B207="",C207="",F207="",I207=""),"",B207&amp;"|"&amp;TEXT(C207,"yyyy-mm-dd")&amp;"|"&amp;F207&amp;"|"&amp;I207)</x:f>
      </x:c>
      <x:c r="R207" s="38" t="str">
        <x:f>IF(OR(K207="",L207="",M207=""),"",SUM(K207:M207))</x:f>
      </x:c>
    </x:row>
    <x:row r="208">
      <x:c r="A208" s="32" t="str">
        <x:v>OBS0204</x:v>
      </x:c>
      <x:c r="B208" s="32"/>
      <x:c r="C208" s="34"/>
      <x:c r="D208" s="35"/>
      <x:c r="E208" s="32"/>
      <x:c r="F208" s="32"/>
      <x:c r="G208" s="32"/>
      <x:c r="H208" s="32"/>
      <x:c r="I208" s="32"/>
      <x:c r="J208" s="32"/>
      <x:c r="K208" s="36"/>
      <x:c r="L208" s="36"/>
      <x:c r="M208" s="36"/>
      <x:c r="N208" s="37"/>
      <x:c r="O208" s="37"/>
      <x:c r="P208" s="32"/>
      <x:c r="Q208" s="33" t="str">
        <x:f>IF(OR(B208="",C208="",F208="",I208=""),"",B208&amp;"|"&amp;TEXT(C208,"yyyy-mm-dd")&amp;"|"&amp;F208&amp;"|"&amp;I208)</x:f>
      </x:c>
      <x:c r="R208" s="38" t="str">
        <x:f>IF(OR(K208="",L208="",M208=""),"",SUM(K208:M208))</x:f>
      </x:c>
    </x:row>
    <x:row r="209">
      <x:c r="A209" s="32" t="str">
        <x:v>OBS0205</x:v>
      </x:c>
      <x:c r="B209" s="32"/>
      <x:c r="C209" s="34"/>
      <x:c r="D209" s="35"/>
      <x:c r="E209" s="32"/>
      <x:c r="F209" s="32"/>
      <x:c r="G209" s="32"/>
      <x:c r="H209" s="32"/>
      <x:c r="I209" s="32"/>
      <x:c r="J209" s="32"/>
      <x:c r="K209" s="36"/>
      <x:c r="L209" s="36"/>
      <x:c r="M209" s="36"/>
      <x:c r="N209" s="37"/>
      <x:c r="O209" s="37"/>
      <x:c r="P209" s="32"/>
      <x:c r="Q209" s="33" t="str">
        <x:f>IF(OR(B209="",C209="",F209="",I209=""),"",B209&amp;"|"&amp;TEXT(C209,"yyyy-mm-dd")&amp;"|"&amp;F209&amp;"|"&amp;I209)</x:f>
      </x:c>
      <x:c r="R209" s="38" t="str">
        <x:f>IF(OR(K209="",L209="",M209=""),"",SUM(K209:M209))</x:f>
      </x:c>
    </x:row>
    <x:row r="210">
      <x:c r="A210" s="32" t="str">
        <x:v>OBS0206</x:v>
      </x:c>
      <x:c r="B210" s="32"/>
      <x:c r="C210" s="34"/>
      <x:c r="D210" s="35"/>
      <x:c r="E210" s="32"/>
      <x:c r="F210" s="32"/>
      <x:c r="G210" s="32"/>
      <x:c r="H210" s="32"/>
      <x:c r="I210" s="32"/>
      <x:c r="J210" s="32"/>
      <x:c r="K210" s="36"/>
      <x:c r="L210" s="36"/>
      <x:c r="M210" s="36"/>
      <x:c r="N210" s="37"/>
      <x:c r="O210" s="37"/>
      <x:c r="P210" s="32"/>
      <x:c r="Q210" s="33" t="str">
        <x:f>IF(OR(B210="",C210="",F210="",I210=""),"",B210&amp;"|"&amp;TEXT(C210,"yyyy-mm-dd")&amp;"|"&amp;F210&amp;"|"&amp;I210)</x:f>
      </x:c>
      <x:c r="R210" s="38" t="str">
        <x:f>IF(OR(K210="",L210="",M210=""),"",SUM(K210:M210))</x:f>
      </x:c>
    </x:row>
    <x:row r="211">
      <x:c r="A211" s="32" t="str">
        <x:v>OBS0207</x:v>
      </x:c>
      <x:c r="B211" s="32"/>
      <x:c r="C211" s="34"/>
      <x:c r="D211" s="35"/>
      <x:c r="E211" s="32"/>
      <x:c r="F211" s="32"/>
      <x:c r="G211" s="32"/>
      <x:c r="H211" s="32"/>
      <x:c r="I211" s="32"/>
      <x:c r="J211" s="32"/>
      <x:c r="K211" s="36"/>
      <x:c r="L211" s="36"/>
      <x:c r="M211" s="36"/>
      <x:c r="N211" s="37"/>
      <x:c r="O211" s="37"/>
      <x:c r="P211" s="32"/>
      <x:c r="Q211" s="33" t="str">
        <x:f>IF(OR(B211="",C211="",F211="",I211=""),"",B211&amp;"|"&amp;TEXT(C211,"yyyy-mm-dd")&amp;"|"&amp;F211&amp;"|"&amp;I211)</x:f>
      </x:c>
      <x:c r="R211" s="38" t="str">
        <x:f>IF(OR(K211="",L211="",M211=""),"",SUM(K211:M211))</x:f>
      </x:c>
    </x:row>
    <x:row r="212">
      <x:c r="A212" s="32" t="str">
        <x:v>OBS0208</x:v>
      </x:c>
      <x:c r="B212" s="32"/>
      <x:c r="C212" s="34"/>
      <x:c r="D212" s="35"/>
      <x:c r="E212" s="32"/>
      <x:c r="F212" s="32"/>
      <x:c r="G212" s="32"/>
      <x:c r="H212" s="32"/>
      <x:c r="I212" s="32"/>
      <x:c r="J212" s="32"/>
      <x:c r="K212" s="36"/>
      <x:c r="L212" s="36"/>
      <x:c r="M212" s="36"/>
      <x:c r="N212" s="37"/>
      <x:c r="O212" s="37"/>
      <x:c r="P212" s="32"/>
      <x:c r="Q212" s="33" t="str">
        <x:f>IF(OR(B212="",C212="",F212="",I212=""),"",B212&amp;"|"&amp;TEXT(C212,"yyyy-mm-dd")&amp;"|"&amp;F212&amp;"|"&amp;I212)</x:f>
      </x:c>
      <x:c r="R212" s="38" t="str">
        <x:f>IF(OR(K212="",L212="",M212=""),"",SUM(K212:M212))</x:f>
      </x:c>
    </x:row>
    <x:row r="213">
      <x:c r="A213" s="32" t="str">
        <x:v>OBS0209</x:v>
      </x:c>
      <x:c r="B213" s="32"/>
      <x:c r="C213" s="34"/>
      <x:c r="D213" s="35"/>
      <x:c r="E213" s="32"/>
      <x:c r="F213" s="32"/>
      <x:c r="G213" s="32"/>
      <x:c r="H213" s="32"/>
      <x:c r="I213" s="32"/>
      <x:c r="J213" s="32"/>
      <x:c r="K213" s="36"/>
      <x:c r="L213" s="36"/>
      <x:c r="M213" s="36"/>
      <x:c r="N213" s="37"/>
      <x:c r="O213" s="37"/>
      <x:c r="P213" s="32"/>
      <x:c r="Q213" s="33" t="str">
        <x:f>IF(OR(B213="",C213="",F213="",I213=""),"",B213&amp;"|"&amp;TEXT(C213,"yyyy-mm-dd")&amp;"|"&amp;F213&amp;"|"&amp;I213)</x:f>
      </x:c>
      <x:c r="R213" s="38" t="str">
        <x:f>IF(OR(K213="",L213="",M213=""),"",SUM(K213:M213))</x:f>
      </x:c>
    </x:row>
    <x:row r="214">
      <x:c r="A214" s="32" t="str">
        <x:v>OBS0210</x:v>
      </x:c>
      <x:c r="B214" s="32"/>
      <x:c r="C214" s="34"/>
      <x:c r="D214" s="35"/>
      <x:c r="E214" s="32"/>
      <x:c r="F214" s="32"/>
      <x:c r="G214" s="32"/>
      <x:c r="H214" s="32"/>
      <x:c r="I214" s="32"/>
      <x:c r="J214" s="32"/>
      <x:c r="K214" s="36"/>
      <x:c r="L214" s="36"/>
      <x:c r="M214" s="36"/>
      <x:c r="N214" s="37"/>
      <x:c r="O214" s="37"/>
      <x:c r="P214" s="32"/>
      <x:c r="Q214" s="33" t="str">
        <x:f>IF(OR(B214="",C214="",F214="",I214=""),"",B214&amp;"|"&amp;TEXT(C214,"yyyy-mm-dd")&amp;"|"&amp;F214&amp;"|"&amp;I214)</x:f>
      </x:c>
      <x:c r="R214" s="38" t="str">
        <x:f>IF(OR(K214="",L214="",M214=""),"",SUM(K214:M214))</x:f>
      </x:c>
    </x:row>
    <x:row r="215">
      <x:c r="A215" s="32" t="str">
        <x:v>OBS0211</x:v>
      </x:c>
      <x:c r="B215" s="32"/>
      <x:c r="C215" s="34"/>
      <x:c r="D215" s="35"/>
      <x:c r="E215" s="32"/>
      <x:c r="F215" s="32"/>
      <x:c r="G215" s="32"/>
      <x:c r="H215" s="32"/>
      <x:c r="I215" s="32"/>
      <x:c r="J215" s="32"/>
      <x:c r="K215" s="36"/>
      <x:c r="L215" s="36"/>
      <x:c r="M215" s="36"/>
      <x:c r="N215" s="37"/>
      <x:c r="O215" s="37"/>
      <x:c r="P215" s="32"/>
      <x:c r="Q215" s="33" t="str">
        <x:f>IF(OR(B215="",C215="",F215="",I215=""),"",B215&amp;"|"&amp;TEXT(C215,"yyyy-mm-dd")&amp;"|"&amp;F215&amp;"|"&amp;I215)</x:f>
      </x:c>
      <x:c r="R215" s="38" t="str">
        <x:f>IF(OR(K215="",L215="",M215=""),"",SUM(K215:M215))</x:f>
      </x:c>
    </x:row>
    <x:row r="216">
      <x:c r="A216" s="32" t="str">
        <x:v>OBS0212</x:v>
      </x:c>
      <x:c r="B216" s="32"/>
      <x:c r="C216" s="34"/>
      <x:c r="D216" s="35"/>
      <x:c r="E216" s="32"/>
      <x:c r="F216" s="32"/>
      <x:c r="G216" s="32"/>
      <x:c r="H216" s="32"/>
      <x:c r="I216" s="32"/>
      <x:c r="J216" s="32"/>
      <x:c r="K216" s="36"/>
      <x:c r="L216" s="36"/>
      <x:c r="M216" s="36"/>
      <x:c r="N216" s="37"/>
      <x:c r="O216" s="37"/>
      <x:c r="P216" s="32"/>
      <x:c r="Q216" s="33" t="str">
        <x:f>IF(OR(B216="",C216="",F216="",I216=""),"",B216&amp;"|"&amp;TEXT(C216,"yyyy-mm-dd")&amp;"|"&amp;F216&amp;"|"&amp;I216)</x:f>
      </x:c>
      <x:c r="R216" s="38" t="str">
        <x:f>IF(OR(K216="",L216="",M216=""),"",SUM(K216:M216))</x:f>
      </x:c>
    </x:row>
    <x:row r="217">
      <x:c r="A217" s="32" t="str">
        <x:v>OBS0213</x:v>
      </x:c>
      <x:c r="B217" s="32"/>
      <x:c r="C217" s="34"/>
      <x:c r="D217" s="35"/>
      <x:c r="E217" s="32"/>
      <x:c r="F217" s="32"/>
      <x:c r="G217" s="32"/>
      <x:c r="H217" s="32"/>
      <x:c r="I217" s="32"/>
      <x:c r="J217" s="32"/>
      <x:c r="K217" s="36"/>
      <x:c r="L217" s="36"/>
      <x:c r="M217" s="36"/>
      <x:c r="N217" s="37"/>
      <x:c r="O217" s="37"/>
      <x:c r="P217" s="32"/>
      <x:c r="Q217" s="33" t="str">
        <x:f>IF(OR(B217="",C217="",F217="",I217=""),"",B217&amp;"|"&amp;TEXT(C217,"yyyy-mm-dd")&amp;"|"&amp;F217&amp;"|"&amp;I217)</x:f>
      </x:c>
      <x:c r="R217" s="38" t="str">
        <x:f>IF(OR(K217="",L217="",M217=""),"",SUM(K217:M217))</x:f>
      </x:c>
    </x:row>
    <x:row r="218">
      <x:c r="A218" s="32" t="str">
        <x:v>OBS0214</x:v>
      </x:c>
      <x:c r="B218" s="32"/>
      <x:c r="C218" s="34"/>
      <x:c r="D218" s="35"/>
      <x:c r="E218" s="32"/>
      <x:c r="F218" s="32"/>
      <x:c r="G218" s="32"/>
      <x:c r="H218" s="32"/>
      <x:c r="I218" s="32"/>
      <x:c r="J218" s="32"/>
      <x:c r="K218" s="36"/>
      <x:c r="L218" s="36"/>
      <x:c r="M218" s="36"/>
      <x:c r="N218" s="37"/>
      <x:c r="O218" s="37"/>
      <x:c r="P218" s="32"/>
      <x:c r="Q218" s="33" t="str">
        <x:f>IF(OR(B218="",C218="",F218="",I218=""),"",B218&amp;"|"&amp;TEXT(C218,"yyyy-mm-dd")&amp;"|"&amp;F218&amp;"|"&amp;I218)</x:f>
      </x:c>
      <x:c r="R218" s="38" t="str">
        <x:f>IF(OR(K218="",L218="",M218=""),"",SUM(K218:M218))</x:f>
      </x:c>
    </x:row>
    <x:row r="219">
      <x:c r="A219" s="32" t="str">
        <x:v>OBS0215</x:v>
      </x:c>
      <x:c r="B219" s="32"/>
      <x:c r="C219" s="34"/>
      <x:c r="D219" s="35"/>
      <x:c r="E219" s="32"/>
      <x:c r="F219" s="32"/>
      <x:c r="G219" s="32"/>
      <x:c r="H219" s="32"/>
      <x:c r="I219" s="32"/>
      <x:c r="J219" s="32"/>
      <x:c r="K219" s="36"/>
      <x:c r="L219" s="36"/>
      <x:c r="M219" s="36"/>
      <x:c r="N219" s="37"/>
      <x:c r="O219" s="37"/>
      <x:c r="P219" s="32"/>
      <x:c r="Q219" s="33" t="str">
        <x:f>IF(OR(B219="",C219="",F219="",I219=""),"",B219&amp;"|"&amp;TEXT(C219,"yyyy-mm-dd")&amp;"|"&amp;F219&amp;"|"&amp;I219)</x:f>
      </x:c>
      <x:c r="R219" s="38" t="str">
        <x:f>IF(OR(K219="",L219="",M219=""),"",SUM(K219:M219))</x:f>
      </x:c>
    </x:row>
    <x:row r="220">
      <x:c r="A220" s="32" t="str">
        <x:v>OBS0216</x:v>
      </x:c>
      <x:c r="B220" s="32"/>
      <x:c r="C220" s="34"/>
      <x:c r="D220" s="35"/>
      <x:c r="E220" s="32"/>
      <x:c r="F220" s="32"/>
      <x:c r="G220" s="32"/>
      <x:c r="H220" s="32"/>
      <x:c r="I220" s="32"/>
      <x:c r="J220" s="32"/>
      <x:c r="K220" s="36"/>
      <x:c r="L220" s="36"/>
      <x:c r="M220" s="36"/>
      <x:c r="N220" s="37"/>
      <x:c r="O220" s="37"/>
      <x:c r="P220" s="32"/>
      <x:c r="Q220" s="33" t="str">
        <x:f>IF(OR(B220="",C220="",F220="",I220=""),"",B220&amp;"|"&amp;TEXT(C220,"yyyy-mm-dd")&amp;"|"&amp;F220&amp;"|"&amp;I220)</x:f>
      </x:c>
      <x:c r="R220" s="38" t="str">
        <x:f>IF(OR(K220="",L220="",M220=""),"",SUM(K220:M220))</x:f>
      </x:c>
    </x:row>
    <x:row r="221">
      <x:c r="A221" s="32" t="str">
        <x:v>OBS0217</x:v>
      </x:c>
      <x:c r="B221" s="32"/>
      <x:c r="C221" s="34"/>
      <x:c r="D221" s="35"/>
      <x:c r="E221" s="32"/>
      <x:c r="F221" s="32"/>
      <x:c r="G221" s="32"/>
      <x:c r="H221" s="32"/>
      <x:c r="I221" s="32"/>
      <x:c r="J221" s="32"/>
      <x:c r="K221" s="36"/>
      <x:c r="L221" s="36"/>
      <x:c r="M221" s="36"/>
      <x:c r="N221" s="37"/>
      <x:c r="O221" s="37"/>
      <x:c r="P221" s="32"/>
      <x:c r="Q221" s="33" t="str">
        <x:f>IF(OR(B221="",C221="",F221="",I221=""),"",B221&amp;"|"&amp;TEXT(C221,"yyyy-mm-dd")&amp;"|"&amp;F221&amp;"|"&amp;I221)</x:f>
      </x:c>
      <x:c r="R221" s="38" t="str">
        <x:f>IF(OR(K221="",L221="",M221=""),"",SUM(K221:M221))</x:f>
      </x:c>
    </x:row>
    <x:row r="222">
      <x:c r="A222" s="32" t="str">
        <x:v>OBS0218</x:v>
      </x:c>
      <x:c r="B222" s="32"/>
      <x:c r="C222" s="34"/>
      <x:c r="D222" s="35"/>
      <x:c r="E222" s="32"/>
      <x:c r="F222" s="32"/>
      <x:c r="G222" s="32"/>
      <x:c r="H222" s="32"/>
      <x:c r="I222" s="32"/>
      <x:c r="J222" s="32"/>
      <x:c r="K222" s="36"/>
      <x:c r="L222" s="36"/>
      <x:c r="M222" s="36"/>
      <x:c r="N222" s="37"/>
      <x:c r="O222" s="37"/>
      <x:c r="P222" s="32"/>
      <x:c r="Q222" s="33" t="str">
        <x:f>IF(OR(B222="",C222="",F222="",I222=""),"",B222&amp;"|"&amp;TEXT(C222,"yyyy-mm-dd")&amp;"|"&amp;F222&amp;"|"&amp;I222)</x:f>
      </x:c>
      <x:c r="R222" s="38" t="str">
        <x:f>IF(OR(K222="",L222="",M222=""),"",SUM(K222:M222))</x:f>
      </x:c>
    </x:row>
    <x:row r="223">
      <x:c r="A223" s="32" t="str">
        <x:v>OBS0219</x:v>
      </x:c>
      <x:c r="B223" s="32"/>
      <x:c r="C223" s="34"/>
      <x:c r="D223" s="35"/>
      <x:c r="E223" s="32"/>
      <x:c r="F223" s="32"/>
      <x:c r="G223" s="32"/>
      <x:c r="H223" s="32"/>
      <x:c r="I223" s="32"/>
      <x:c r="J223" s="32"/>
      <x:c r="K223" s="36"/>
      <x:c r="L223" s="36"/>
      <x:c r="M223" s="36"/>
      <x:c r="N223" s="37"/>
      <x:c r="O223" s="37"/>
      <x:c r="P223" s="32"/>
      <x:c r="Q223" s="33" t="str">
        <x:f>IF(OR(B223="",C223="",F223="",I223=""),"",B223&amp;"|"&amp;TEXT(C223,"yyyy-mm-dd")&amp;"|"&amp;F223&amp;"|"&amp;I223)</x:f>
      </x:c>
      <x:c r="R223" s="38" t="str">
        <x:f>IF(OR(K223="",L223="",M223=""),"",SUM(K223:M223))</x:f>
      </x:c>
    </x:row>
    <x:row r="224">
      <x:c r="A224" s="32" t="str">
        <x:v>OBS0220</x:v>
      </x:c>
      <x:c r="B224" s="32"/>
      <x:c r="C224" s="34"/>
      <x:c r="D224" s="35"/>
      <x:c r="E224" s="32"/>
      <x:c r="F224" s="32"/>
      <x:c r="G224" s="32"/>
      <x:c r="H224" s="32"/>
      <x:c r="I224" s="32"/>
      <x:c r="J224" s="32"/>
      <x:c r="K224" s="36"/>
      <x:c r="L224" s="36"/>
      <x:c r="M224" s="36"/>
      <x:c r="N224" s="37"/>
      <x:c r="O224" s="37"/>
      <x:c r="P224" s="32"/>
      <x:c r="Q224" s="33" t="str">
        <x:f>IF(OR(B224="",C224="",F224="",I224=""),"",B224&amp;"|"&amp;TEXT(C224,"yyyy-mm-dd")&amp;"|"&amp;F224&amp;"|"&amp;I224)</x:f>
      </x:c>
      <x:c r="R224" s="38" t="str">
        <x:f>IF(OR(K224="",L224="",M224=""),"",SUM(K224:M224))</x:f>
      </x:c>
    </x:row>
    <x:row r="225">
      <x:c r="A225" s="32" t="str">
        <x:v>OBS0221</x:v>
      </x:c>
      <x:c r="B225" s="32"/>
      <x:c r="C225" s="34"/>
      <x:c r="D225" s="35"/>
      <x:c r="E225" s="32"/>
      <x:c r="F225" s="32"/>
      <x:c r="G225" s="32"/>
      <x:c r="H225" s="32"/>
      <x:c r="I225" s="32"/>
      <x:c r="J225" s="32"/>
      <x:c r="K225" s="36"/>
      <x:c r="L225" s="36"/>
      <x:c r="M225" s="36"/>
      <x:c r="N225" s="37"/>
      <x:c r="O225" s="37"/>
      <x:c r="P225" s="32"/>
      <x:c r="Q225" s="33" t="str">
        <x:f>IF(OR(B225="",C225="",F225="",I225=""),"",B225&amp;"|"&amp;TEXT(C225,"yyyy-mm-dd")&amp;"|"&amp;F225&amp;"|"&amp;I225)</x:f>
      </x:c>
      <x:c r="R225" s="38" t="str">
        <x:f>IF(OR(K225="",L225="",M225=""),"",SUM(K225:M225))</x:f>
      </x:c>
    </x:row>
    <x:row r="226">
      <x:c r="A226" s="32" t="str">
        <x:v>OBS0222</x:v>
      </x:c>
      <x:c r="B226" s="32"/>
      <x:c r="C226" s="34"/>
      <x:c r="D226" s="35"/>
      <x:c r="E226" s="32"/>
      <x:c r="F226" s="32"/>
      <x:c r="G226" s="32"/>
      <x:c r="H226" s="32"/>
      <x:c r="I226" s="32"/>
      <x:c r="J226" s="32"/>
      <x:c r="K226" s="36"/>
      <x:c r="L226" s="36"/>
      <x:c r="M226" s="36"/>
      <x:c r="N226" s="37"/>
      <x:c r="O226" s="37"/>
      <x:c r="P226" s="32"/>
      <x:c r="Q226" s="33" t="str">
        <x:f>IF(OR(B226="",C226="",F226="",I226=""),"",B226&amp;"|"&amp;TEXT(C226,"yyyy-mm-dd")&amp;"|"&amp;F226&amp;"|"&amp;I226)</x:f>
      </x:c>
      <x:c r="R226" s="38" t="str">
        <x:f>IF(OR(K226="",L226="",M226=""),"",SUM(K226:M226))</x:f>
      </x:c>
    </x:row>
    <x:row r="227">
      <x:c r="A227" s="32" t="str">
        <x:v>OBS0223</x:v>
      </x:c>
      <x:c r="B227" s="32"/>
      <x:c r="C227" s="34"/>
      <x:c r="D227" s="35"/>
      <x:c r="E227" s="32"/>
      <x:c r="F227" s="32"/>
      <x:c r="G227" s="32"/>
      <x:c r="H227" s="32"/>
      <x:c r="I227" s="32"/>
      <x:c r="J227" s="32"/>
      <x:c r="K227" s="36"/>
      <x:c r="L227" s="36"/>
      <x:c r="M227" s="36"/>
      <x:c r="N227" s="37"/>
      <x:c r="O227" s="37"/>
      <x:c r="P227" s="32"/>
      <x:c r="Q227" s="33" t="str">
        <x:f>IF(OR(B227="",C227="",F227="",I227=""),"",B227&amp;"|"&amp;TEXT(C227,"yyyy-mm-dd")&amp;"|"&amp;F227&amp;"|"&amp;I227)</x:f>
      </x:c>
      <x:c r="R227" s="38" t="str">
        <x:f>IF(OR(K227="",L227="",M227=""),"",SUM(K227:M227))</x:f>
      </x:c>
    </x:row>
    <x:row r="228">
      <x:c r="A228" s="32" t="str">
        <x:v>OBS0224</x:v>
      </x:c>
      <x:c r="B228" s="32"/>
      <x:c r="C228" s="34"/>
      <x:c r="D228" s="35"/>
      <x:c r="E228" s="32"/>
      <x:c r="F228" s="32"/>
      <x:c r="G228" s="32"/>
      <x:c r="H228" s="32"/>
      <x:c r="I228" s="32"/>
      <x:c r="J228" s="32"/>
      <x:c r="K228" s="36"/>
      <x:c r="L228" s="36"/>
      <x:c r="M228" s="36"/>
      <x:c r="N228" s="37"/>
      <x:c r="O228" s="37"/>
      <x:c r="P228" s="32"/>
      <x:c r="Q228" s="33" t="str">
        <x:f>IF(OR(B228="",C228="",F228="",I228=""),"",B228&amp;"|"&amp;TEXT(C228,"yyyy-mm-dd")&amp;"|"&amp;F228&amp;"|"&amp;I228)</x:f>
      </x:c>
      <x:c r="R228" s="38" t="str">
        <x:f>IF(OR(K228="",L228="",M228=""),"",SUM(K228:M228))</x:f>
      </x:c>
    </x:row>
    <x:row r="229">
      <x:c r="A229" s="32" t="str">
        <x:v>OBS0225</x:v>
      </x:c>
      <x:c r="B229" s="32"/>
      <x:c r="C229" s="34"/>
      <x:c r="D229" s="35"/>
      <x:c r="E229" s="32"/>
      <x:c r="F229" s="32"/>
      <x:c r="G229" s="32"/>
      <x:c r="H229" s="32"/>
      <x:c r="I229" s="32"/>
      <x:c r="J229" s="32"/>
      <x:c r="K229" s="36"/>
      <x:c r="L229" s="36"/>
      <x:c r="M229" s="36"/>
      <x:c r="N229" s="37"/>
      <x:c r="O229" s="37"/>
      <x:c r="P229" s="32"/>
      <x:c r="Q229" s="33" t="str">
        <x:f>IF(OR(B229="",C229="",F229="",I229=""),"",B229&amp;"|"&amp;TEXT(C229,"yyyy-mm-dd")&amp;"|"&amp;F229&amp;"|"&amp;I229)</x:f>
      </x:c>
      <x:c r="R229" s="38" t="str">
        <x:f>IF(OR(K229="",L229="",M229=""),"",SUM(K229:M229))</x:f>
      </x:c>
    </x:row>
    <x:row r="230">
      <x:c r="A230" s="32" t="str">
        <x:v>OBS0226</x:v>
      </x:c>
      <x:c r="B230" s="32"/>
      <x:c r="C230" s="34"/>
      <x:c r="D230" s="35"/>
      <x:c r="E230" s="32"/>
      <x:c r="F230" s="32"/>
      <x:c r="G230" s="32"/>
      <x:c r="H230" s="32"/>
      <x:c r="I230" s="32"/>
      <x:c r="J230" s="32"/>
      <x:c r="K230" s="36"/>
      <x:c r="L230" s="36"/>
      <x:c r="M230" s="36"/>
      <x:c r="N230" s="37"/>
      <x:c r="O230" s="37"/>
      <x:c r="P230" s="32"/>
      <x:c r="Q230" s="33" t="str">
        <x:f>IF(OR(B230="",C230="",F230="",I230=""),"",B230&amp;"|"&amp;TEXT(C230,"yyyy-mm-dd")&amp;"|"&amp;F230&amp;"|"&amp;I230)</x:f>
      </x:c>
      <x:c r="R230" s="38" t="str">
        <x:f>IF(OR(K230="",L230="",M230=""),"",SUM(K230:M230))</x:f>
      </x:c>
    </x:row>
    <x:row r="231">
      <x:c r="A231" s="32" t="str">
        <x:v>OBS0227</x:v>
      </x:c>
      <x:c r="B231" s="32"/>
      <x:c r="C231" s="34"/>
      <x:c r="D231" s="35"/>
      <x:c r="E231" s="32"/>
      <x:c r="F231" s="32"/>
      <x:c r="G231" s="32"/>
      <x:c r="H231" s="32"/>
      <x:c r="I231" s="32"/>
      <x:c r="J231" s="32"/>
      <x:c r="K231" s="36"/>
      <x:c r="L231" s="36"/>
      <x:c r="M231" s="36"/>
      <x:c r="N231" s="37"/>
      <x:c r="O231" s="37"/>
      <x:c r="P231" s="32"/>
      <x:c r="Q231" s="33" t="str">
        <x:f>IF(OR(B231="",C231="",F231="",I231=""),"",B231&amp;"|"&amp;TEXT(C231,"yyyy-mm-dd")&amp;"|"&amp;F231&amp;"|"&amp;I231)</x:f>
      </x:c>
      <x:c r="R231" s="38" t="str">
        <x:f>IF(OR(K231="",L231="",M231=""),"",SUM(K231:M231))</x:f>
      </x:c>
    </x:row>
    <x:row r="232">
      <x:c r="A232" s="32" t="str">
        <x:v>OBS0228</x:v>
      </x:c>
      <x:c r="B232" s="32"/>
      <x:c r="C232" s="34"/>
      <x:c r="D232" s="35"/>
      <x:c r="E232" s="32"/>
      <x:c r="F232" s="32"/>
      <x:c r="G232" s="32"/>
      <x:c r="H232" s="32"/>
      <x:c r="I232" s="32"/>
      <x:c r="J232" s="32"/>
      <x:c r="K232" s="36"/>
      <x:c r="L232" s="36"/>
      <x:c r="M232" s="36"/>
      <x:c r="N232" s="37"/>
      <x:c r="O232" s="37"/>
      <x:c r="P232" s="32"/>
      <x:c r="Q232" s="33" t="str">
        <x:f>IF(OR(B232="",C232="",F232="",I232=""),"",B232&amp;"|"&amp;TEXT(C232,"yyyy-mm-dd")&amp;"|"&amp;F232&amp;"|"&amp;I232)</x:f>
      </x:c>
      <x:c r="R232" s="38" t="str">
        <x:f>IF(OR(K232="",L232="",M232=""),"",SUM(K232:M232))</x:f>
      </x:c>
    </x:row>
    <x:row r="233">
      <x:c r="A233" s="32" t="str">
        <x:v>OBS0229</x:v>
      </x:c>
      <x:c r="B233" s="32"/>
      <x:c r="C233" s="34"/>
      <x:c r="D233" s="35"/>
      <x:c r="E233" s="32"/>
      <x:c r="F233" s="32"/>
      <x:c r="G233" s="32"/>
      <x:c r="H233" s="32"/>
      <x:c r="I233" s="32"/>
      <x:c r="J233" s="32"/>
      <x:c r="K233" s="36"/>
      <x:c r="L233" s="36"/>
      <x:c r="M233" s="36"/>
      <x:c r="N233" s="37"/>
      <x:c r="O233" s="37"/>
      <x:c r="P233" s="32"/>
      <x:c r="Q233" s="33" t="str">
        <x:f>IF(OR(B233="",C233="",F233="",I233=""),"",B233&amp;"|"&amp;TEXT(C233,"yyyy-mm-dd")&amp;"|"&amp;F233&amp;"|"&amp;I233)</x:f>
      </x:c>
      <x:c r="R233" s="38" t="str">
        <x:f>IF(OR(K233="",L233="",M233=""),"",SUM(K233:M233))</x:f>
      </x:c>
    </x:row>
    <x:row r="234">
      <x:c r="A234" s="32" t="str">
        <x:v>OBS0230</x:v>
      </x:c>
      <x:c r="B234" s="32"/>
      <x:c r="C234" s="34"/>
      <x:c r="D234" s="35"/>
      <x:c r="E234" s="32"/>
      <x:c r="F234" s="32"/>
      <x:c r="G234" s="32"/>
      <x:c r="H234" s="32"/>
      <x:c r="I234" s="32"/>
      <x:c r="J234" s="32"/>
      <x:c r="K234" s="36"/>
      <x:c r="L234" s="36"/>
      <x:c r="M234" s="36"/>
      <x:c r="N234" s="37"/>
      <x:c r="O234" s="37"/>
      <x:c r="P234" s="32"/>
      <x:c r="Q234" s="33" t="str">
        <x:f>IF(OR(B234="",C234="",F234="",I234=""),"",B234&amp;"|"&amp;TEXT(C234,"yyyy-mm-dd")&amp;"|"&amp;F234&amp;"|"&amp;I234)</x:f>
      </x:c>
      <x:c r="R234" s="38" t="str">
        <x:f>IF(OR(K234="",L234="",M234=""),"",SUM(K234:M234))</x:f>
      </x:c>
    </x:row>
    <x:row r="235">
      <x:c r="A235" s="32" t="str">
        <x:v>OBS0231</x:v>
      </x:c>
      <x:c r="B235" s="32"/>
      <x:c r="C235" s="34"/>
      <x:c r="D235" s="35"/>
      <x:c r="E235" s="32"/>
      <x:c r="F235" s="32"/>
      <x:c r="G235" s="32"/>
      <x:c r="H235" s="32"/>
      <x:c r="I235" s="32"/>
      <x:c r="J235" s="32"/>
      <x:c r="K235" s="36"/>
      <x:c r="L235" s="36"/>
      <x:c r="M235" s="36"/>
      <x:c r="N235" s="37"/>
      <x:c r="O235" s="37"/>
      <x:c r="P235" s="32"/>
      <x:c r="Q235" s="33" t="str">
        <x:f>IF(OR(B235="",C235="",F235="",I235=""),"",B235&amp;"|"&amp;TEXT(C235,"yyyy-mm-dd")&amp;"|"&amp;F235&amp;"|"&amp;I235)</x:f>
      </x:c>
      <x:c r="R235" s="38" t="str">
        <x:f>IF(OR(K235="",L235="",M235=""),"",SUM(K235:M235))</x:f>
      </x:c>
    </x:row>
    <x:row r="236">
      <x:c r="A236" s="32" t="str">
        <x:v>OBS0232</x:v>
      </x:c>
      <x:c r="B236" s="32"/>
      <x:c r="C236" s="34"/>
      <x:c r="D236" s="35"/>
      <x:c r="E236" s="32"/>
      <x:c r="F236" s="32"/>
      <x:c r="G236" s="32"/>
      <x:c r="H236" s="32"/>
      <x:c r="I236" s="32"/>
      <x:c r="J236" s="32"/>
      <x:c r="K236" s="36"/>
      <x:c r="L236" s="36"/>
      <x:c r="M236" s="36"/>
      <x:c r="N236" s="37"/>
      <x:c r="O236" s="37"/>
      <x:c r="P236" s="32"/>
      <x:c r="Q236" s="33" t="str">
        <x:f>IF(OR(B236="",C236="",F236="",I236=""),"",B236&amp;"|"&amp;TEXT(C236,"yyyy-mm-dd")&amp;"|"&amp;F236&amp;"|"&amp;I236)</x:f>
      </x:c>
      <x:c r="R236" s="38" t="str">
        <x:f>IF(OR(K236="",L236="",M236=""),"",SUM(K236:M236))</x:f>
      </x:c>
    </x:row>
    <x:row r="237">
      <x:c r="A237" s="32" t="str">
        <x:v>OBS0233</x:v>
      </x:c>
      <x:c r="B237" s="32"/>
      <x:c r="C237" s="34"/>
      <x:c r="D237" s="35"/>
      <x:c r="E237" s="32"/>
      <x:c r="F237" s="32"/>
      <x:c r="G237" s="32"/>
      <x:c r="H237" s="32"/>
      <x:c r="I237" s="32"/>
      <x:c r="J237" s="32"/>
      <x:c r="K237" s="36"/>
      <x:c r="L237" s="36"/>
      <x:c r="M237" s="36"/>
      <x:c r="N237" s="37"/>
      <x:c r="O237" s="37"/>
      <x:c r="P237" s="32"/>
      <x:c r="Q237" s="33" t="str">
        <x:f>IF(OR(B237="",C237="",F237="",I237=""),"",B237&amp;"|"&amp;TEXT(C237,"yyyy-mm-dd")&amp;"|"&amp;F237&amp;"|"&amp;I237)</x:f>
      </x:c>
      <x:c r="R237" s="38" t="str">
        <x:f>IF(OR(K237="",L237="",M237=""),"",SUM(K237:M237))</x:f>
      </x:c>
    </x:row>
    <x:row r="238">
      <x:c r="A238" s="32" t="str">
        <x:v>OBS0234</x:v>
      </x:c>
      <x:c r="B238" s="32"/>
      <x:c r="C238" s="34"/>
      <x:c r="D238" s="35"/>
      <x:c r="E238" s="32"/>
      <x:c r="F238" s="32"/>
      <x:c r="G238" s="32"/>
      <x:c r="H238" s="32"/>
      <x:c r="I238" s="32"/>
      <x:c r="J238" s="32"/>
      <x:c r="K238" s="36"/>
      <x:c r="L238" s="36"/>
      <x:c r="M238" s="36"/>
      <x:c r="N238" s="37"/>
      <x:c r="O238" s="37"/>
      <x:c r="P238" s="32"/>
      <x:c r="Q238" s="33" t="str">
        <x:f>IF(OR(B238="",C238="",F238="",I238=""),"",B238&amp;"|"&amp;TEXT(C238,"yyyy-mm-dd")&amp;"|"&amp;F238&amp;"|"&amp;I238)</x:f>
      </x:c>
      <x:c r="R238" s="38" t="str">
        <x:f>IF(OR(K238="",L238="",M238=""),"",SUM(K238:M238))</x:f>
      </x:c>
    </x:row>
    <x:row r="239">
      <x:c r="A239" s="32" t="str">
        <x:v>OBS0235</x:v>
      </x:c>
      <x:c r="B239" s="32"/>
      <x:c r="C239" s="34"/>
      <x:c r="D239" s="35"/>
      <x:c r="E239" s="32"/>
      <x:c r="F239" s="32"/>
      <x:c r="G239" s="32"/>
      <x:c r="H239" s="32"/>
      <x:c r="I239" s="32"/>
      <x:c r="J239" s="32"/>
      <x:c r="K239" s="36"/>
      <x:c r="L239" s="36"/>
      <x:c r="M239" s="36"/>
      <x:c r="N239" s="37"/>
      <x:c r="O239" s="37"/>
      <x:c r="P239" s="32"/>
      <x:c r="Q239" s="33" t="str">
        <x:f>IF(OR(B239="",C239="",F239="",I239=""),"",B239&amp;"|"&amp;TEXT(C239,"yyyy-mm-dd")&amp;"|"&amp;F239&amp;"|"&amp;I239)</x:f>
      </x:c>
      <x:c r="R239" s="38" t="str">
        <x:f>IF(OR(K239="",L239="",M239=""),"",SUM(K239:M239))</x:f>
      </x:c>
    </x:row>
    <x:row r="240">
      <x:c r="A240" s="32" t="str">
        <x:v>OBS0236</x:v>
      </x:c>
      <x:c r="B240" s="32"/>
      <x:c r="C240" s="34"/>
      <x:c r="D240" s="35"/>
      <x:c r="E240" s="32"/>
      <x:c r="F240" s="32"/>
      <x:c r="G240" s="32"/>
      <x:c r="H240" s="32"/>
      <x:c r="I240" s="32"/>
      <x:c r="J240" s="32"/>
      <x:c r="K240" s="36"/>
      <x:c r="L240" s="36"/>
      <x:c r="M240" s="36"/>
      <x:c r="N240" s="37"/>
      <x:c r="O240" s="37"/>
      <x:c r="P240" s="32"/>
      <x:c r="Q240" s="33" t="str">
        <x:f>IF(OR(B240="",C240="",F240="",I240=""),"",B240&amp;"|"&amp;TEXT(C240,"yyyy-mm-dd")&amp;"|"&amp;F240&amp;"|"&amp;I240)</x:f>
      </x:c>
      <x:c r="R240" s="38" t="str">
        <x:f>IF(OR(K240="",L240="",M240=""),"",SUM(K240:M240))</x:f>
      </x:c>
    </x:row>
    <x:row r="241">
      <x:c r="A241" s="32" t="str">
        <x:v>OBS0237</x:v>
      </x:c>
      <x:c r="B241" s="32"/>
      <x:c r="C241" s="34"/>
      <x:c r="D241" s="35"/>
      <x:c r="E241" s="32"/>
      <x:c r="F241" s="32"/>
      <x:c r="G241" s="32"/>
      <x:c r="H241" s="32"/>
      <x:c r="I241" s="32"/>
      <x:c r="J241" s="32"/>
      <x:c r="K241" s="36"/>
      <x:c r="L241" s="36"/>
      <x:c r="M241" s="36"/>
      <x:c r="N241" s="37"/>
      <x:c r="O241" s="37"/>
      <x:c r="P241" s="32"/>
      <x:c r="Q241" s="33" t="str">
        <x:f>IF(OR(B241="",C241="",F241="",I241=""),"",B241&amp;"|"&amp;TEXT(C241,"yyyy-mm-dd")&amp;"|"&amp;F241&amp;"|"&amp;I241)</x:f>
      </x:c>
      <x:c r="R241" s="38" t="str">
        <x:f>IF(OR(K241="",L241="",M241=""),"",SUM(K241:M241))</x:f>
      </x:c>
    </x:row>
    <x:row r="242">
      <x:c r="A242" s="32" t="str">
        <x:v>OBS0238</x:v>
      </x:c>
      <x:c r="B242" s="32"/>
      <x:c r="C242" s="34"/>
      <x:c r="D242" s="35"/>
      <x:c r="E242" s="32"/>
      <x:c r="F242" s="32"/>
      <x:c r="G242" s="32"/>
      <x:c r="H242" s="32"/>
      <x:c r="I242" s="32"/>
      <x:c r="J242" s="32"/>
      <x:c r="K242" s="36"/>
      <x:c r="L242" s="36"/>
      <x:c r="M242" s="36"/>
      <x:c r="N242" s="37"/>
      <x:c r="O242" s="37"/>
      <x:c r="P242" s="32"/>
      <x:c r="Q242" s="33" t="str">
        <x:f>IF(OR(B242="",C242="",F242="",I242=""),"",B242&amp;"|"&amp;TEXT(C242,"yyyy-mm-dd")&amp;"|"&amp;F242&amp;"|"&amp;I242)</x:f>
      </x:c>
      <x:c r="R242" s="38" t="str">
        <x:f>IF(OR(K242="",L242="",M242=""),"",SUM(K242:M242))</x:f>
      </x:c>
    </x:row>
    <x:row r="243">
      <x:c r="A243" s="32" t="str">
        <x:v>OBS0239</x:v>
      </x:c>
      <x:c r="B243" s="32"/>
      <x:c r="C243" s="34"/>
      <x:c r="D243" s="35"/>
      <x:c r="E243" s="32"/>
      <x:c r="F243" s="32"/>
      <x:c r="G243" s="32"/>
      <x:c r="H243" s="32"/>
      <x:c r="I243" s="32"/>
      <x:c r="J243" s="32"/>
      <x:c r="K243" s="36"/>
      <x:c r="L243" s="36"/>
      <x:c r="M243" s="36"/>
      <x:c r="N243" s="37"/>
      <x:c r="O243" s="37"/>
      <x:c r="P243" s="32"/>
      <x:c r="Q243" s="33" t="str">
        <x:f>IF(OR(B243="",C243="",F243="",I243=""),"",B243&amp;"|"&amp;TEXT(C243,"yyyy-mm-dd")&amp;"|"&amp;F243&amp;"|"&amp;I243)</x:f>
      </x:c>
      <x:c r="R243" s="38" t="str">
        <x:f>IF(OR(K243="",L243="",M243=""),"",SUM(K243:M243))</x:f>
      </x:c>
    </x:row>
    <x:row r="244">
      <x:c r="A244" s="32" t="str">
        <x:v>OBS0240</x:v>
      </x:c>
      <x:c r="B244" s="32"/>
      <x:c r="C244" s="34"/>
      <x:c r="D244" s="35"/>
      <x:c r="E244" s="32"/>
      <x:c r="F244" s="32"/>
      <x:c r="G244" s="32"/>
      <x:c r="H244" s="32"/>
      <x:c r="I244" s="32"/>
      <x:c r="J244" s="32"/>
      <x:c r="K244" s="36"/>
      <x:c r="L244" s="36"/>
      <x:c r="M244" s="36"/>
      <x:c r="N244" s="37"/>
      <x:c r="O244" s="37"/>
      <x:c r="P244" s="32"/>
      <x:c r="Q244" s="33" t="str">
        <x:f>IF(OR(B244="",C244="",F244="",I244=""),"",B244&amp;"|"&amp;TEXT(C244,"yyyy-mm-dd")&amp;"|"&amp;F244&amp;"|"&amp;I244)</x:f>
      </x:c>
      <x:c r="R244" s="38" t="str">
        <x:f>IF(OR(K244="",L244="",M244=""),"",SUM(K244:M244))</x:f>
      </x:c>
    </x:row>
  </x:sheetData>
  <x:dataValidations count="4">
    <x:dataValidation type="whole" operator="between" sqref="B5:B244">
      <x:formula1>1</x:formula1>
      <x:formula2>4</x:formula2>
    </x:dataValidation>
    <x:dataValidation type="list" sqref="E5:E244">
      <x:formula1>"Weekday,Weekend"</x:formula1>
    </x:dataValidation>
    <x:dataValidation type="list" sqref="J5:J244">
      <x:formula1>"Zomato,Swiggy"</x:formula1>
    </x:dataValidation>
    <x:dataValidation type="decimal" operator="between" sqref="N5:N244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c12071e9964904"/>
  </x:tableParts>
</x:worksheet>
</file>